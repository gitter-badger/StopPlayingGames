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0" yWindow="60" windowWidth="13755" windowHeight="4200"/>
  </bookViews>
  <sheets>
    <sheet name="Game" sheetId="7" r:id="rId1"/>
    <sheet name="Map" sheetId="8" r:id="rId2"/>
    <sheet name="Maze Edit" sheetId="4" r:id="rId3"/>
    <sheet name="Primitives" sheetId="3" r:id="rId4"/>
    <sheet name="Calc" sheetId="6" r:id="rId5"/>
    <sheet name="Sheet1" sheetId="5" r:id="rId6"/>
  </sheets>
  <definedNames>
    <definedName name="Calc.Direction">Calc!$C$2</definedName>
    <definedName name="Calc.Left">Calc!$C$3</definedName>
    <definedName name="Calc.Top">Calc!$C$4</definedName>
    <definedName name="Center">Game!$Y$2</definedName>
    <definedName name="factor">Calc!$T$2</definedName>
    <definedName name="go_east">Game!$AA$13</definedName>
    <definedName name="go_home">Game!$Z$13</definedName>
    <definedName name="go_north">Game!$Z$12</definedName>
    <definedName name="go_south">Game!$Z$14</definedName>
    <definedName name="Hallway.EastWest">Calc!$H$6:$P$8</definedName>
    <definedName name="Hallway.NorthSouth">Calc!$H$14:$P$16</definedName>
    <definedName name="MazeDef">'Maze Edit'!$B$2:$K$11</definedName>
    <definedName name="MazeMatrix">'Maze Edit'!$O$14:$AR$43</definedName>
    <definedName name="MoveArea">Game!$X$1:$Z$3</definedName>
    <definedName name="Player.Direction">Calc!$D$2</definedName>
    <definedName name="slope">Calc!$T$3</definedName>
  </definedNames>
  <calcPr calcId="145621"/>
  <fileRecoveryPr repairLoad="1"/>
</workbook>
</file>

<file path=xl/calcChain.xml><?xml version="1.0" encoding="utf-8"?>
<calcChain xmlns="http://schemas.openxmlformats.org/spreadsheetml/2006/main">
  <c r="D2" i="6" l="1"/>
  <c r="AB27" i="4" s="1"/>
  <c r="Q17" i="8" s="1"/>
  <c r="AR43" i="4"/>
  <c r="AG33" i="8" s="1"/>
  <c r="AQ43" i="4"/>
  <c r="AF33" i="8" s="1"/>
  <c r="AP43" i="4"/>
  <c r="AE33" i="8" s="1"/>
  <c r="AO43" i="4"/>
  <c r="AD33" i="8" s="1"/>
  <c r="AN43" i="4"/>
  <c r="AC33" i="8" s="1"/>
  <c r="AM43" i="4"/>
  <c r="AB33" i="8" s="1"/>
  <c r="AL43" i="4"/>
  <c r="AA33" i="8" s="1"/>
  <c r="AK43" i="4"/>
  <c r="Z33" i="8" s="1"/>
  <c r="AJ43" i="4"/>
  <c r="Y33" i="8" s="1"/>
  <c r="AI43" i="4"/>
  <c r="X33" i="8" s="1"/>
  <c r="AH43" i="4"/>
  <c r="W33" i="8" s="1"/>
  <c r="AG43" i="4"/>
  <c r="V33" i="8" s="1"/>
  <c r="AF43" i="4"/>
  <c r="U33" i="8" s="1"/>
  <c r="AE43" i="4"/>
  <c r="T33" i="8" s="1"/>
  <c r="AD43" i="4"/>
  <c r="S33" i="8" s="1"/>
  <c r="AC43" i="4"/>
  <c r="AB43" i="4"/>
  <c r="Q33" i="8" s="1"/>
  <c r="AA43" i="4"/>
  <c r="P33" i="8" s="1"/>
  <c r="Z43" i="4"/>
  <c r="O33" i="8" s="1"/>
  <c r="Y43" i="4"/>
  <c r="N33" i="8" s="1"/>
  <c r="X43" i="4"/>
  <c r="M33" i="8" s="1"/>
  <c r="W43" i="4"/>
  <c r="L33" i="8" s="1"/>
  <c r="V43" i="4"/>
  <c r="K33" i="8" s="1"/>
  <c r="U43" i="4"/>
  <c r="J33" i="8" s="1"/>
  <c r="T43" i="4"/>
  <c r="I33" i="8" s="1"/>
  <c r="S43" i="4"/>
  <c r="H33" i="8" s="1"/>
  <c r="R43" i="4"/>
  <c r="G33" i="8" s="1"/>
  <c r="Q43" i="4"/>
  <c r="F33" i="8" s="1"/>
  <c r="P43" i="4"/>
  <c r="E33" i="8" s="1"/>
  <c r="O43" i="4"/>
  <c r="D33" i="8" s="1"/>
  <c r="AR42" i="4"/>
  <c r="AG32" i="8" s="1"/>
  <c r="AQ42" i="4"/>
  <c r="AF32" i="8" s="1"/>
  <c r="AP42" i="4"/>
  <c r="AE32" i="8" s="1"/>
  <c r="AO42" i="4"/>
  <c r="AD32" i="8" s="1"/>
  <c r="AN42" i="4"/>
  <c r="AC32" i="8" s="1"/>
  <c r="AM42" i="4"/>
  <c r="AB32" i="8" s="1"/>
  <c r="AL42" i="4"/>
  <c r="AA32" i="8" s="1"/>
  <c r="AK42" i="4"/>
  <c r="Z32" i="8" s="1"/>
  <c r="AJ42" i="4"/>
  <c r="Y32" i="8" s="1"/>
  <c r="AI42" i="4"/>
  <c r="X32" i="8" s="1"/>
  <c r="AH42" i="4"/>
  <c r="W32" i="8" s="1"/>
  <c r="AG42" i="4"/>
  <c r="V32" i="8" s="1"/>
  <c r="AF42" i="4"/>
  <c r="U32" i="8" s="1"/>
  <c r="AE42" i="4"/>
  <c r="T32" i="8" s="1"/>
  <c r="AD42" i="4"/>
  <c r="S32" i="8" s="1"/>
  <c r="AC42" i="4"/>
  <c r="R32" i="8" s="1"/>
  <c r="AB42" i="4"/>
  <c r="Q32" i="8" s="1"/>
  <c r="AA42" i="4"/>
  <c r="P32" i="8" s="1"/>
  <c r="Z42" i="4"/>
  <c r="O32" i="8" s="1"/>
  <c r="Y42" i="4"/>
  <c r="N32" i="8" s="1"/>
  <c r="X42" i="4"/>
  <c r="M32" i="8" s="1"/>
  <c r="W42" i="4"/>
  <c r="L32" i="8" s="1"/>
  <c r="V42" i="4"/>
  <c r="K32" i="8" s="1"/>
  <c r="U42" i="4"/>
  <c r="J32" i="8" s="1"/>
  <c r="T42" i="4"/>
  <c r="I32" i="8" s="1"/>
  <c r="S42" i="4"/>
  <c r="H32" i="8" s="1"/>
  <c r="R42" i="4"/>
  <c r="G32" i="8" s="1"/>
  <c r="Q42" i="4"/>
  <c r="F32" i="8" s="1"/>
  <c r="P42" i="4"/>
  <c r="E32" i="8" s="1"/>
  <c r="O42" i="4"/>
  <c r="D32" i="8" s="1"/>
  <c r="AR41" i="4"/>
  <c r="AG31" i="8" s="1"/>
  <c r="AQ41" i="4"/>
  <c r="AF31" i="8" s="1"/>
  <c r="AP41" i="4"/>
  <c r="AE31" i="8" s="1"/>
  <c r="AO41" i="4"/>
  <c r="AD31" i="8" s="1"/>
  <c r="AN41" i="4"/>
  <c r="AC31" i="8" s="1"/>
  <c r="AM41" i="4"/>
  <c r="AB31" i="8" s="1"/>
  <c r="AL41" i="4"/>
  <c r="AA31" i="8" s="1"/>
  <c r="AK41" i="4"/>
  <c r="Z31" i="8" s="1"/>
  <c r="AJ41" i="4"/>
  <c r="Y31" i="8" s="1"/>
  <c r="AI41" i="4"/>
  <c r="X31" i="8" s="1"/>
  <c r="AH41" i="4"/>
  <c r="W31" i="8" s="1"/>
  <c r="AG41" i="4"/>
  <c r="V31" i="8" s="1"/>
  <c r="AF41" i="4"/>
  <c r="U31" i="8" s="1"/>
  <c r="AE41" i="4"/>
  <c r="T31" i="8" s="1"/>
  <c r="AD41" i="4"/>
  <c r="S31" i="8" s="1"/>
  <c r="AC41" i="4"/>
  <c r="R31" i="8" s="1"/>
  <c r="AB41" i="4"/>
  <c r="Q31" i="8" s="1"/>
  <c r="AA41" i="4"/>
  <c r="P31" i="8" s="1"/>
  <c r="Z41" i="4"/>
  <c r="O31" i="8" s="1"/>
  <c r="Y41" i="4"/>
  <c r="N31" i="8" s="1"/>
  <c r="X41" i="4"/>
  <c r="M31" i="8" s="1"/>
  <c r="W41" i="4"/>
  <c r="L31" i="8" s="1"/>
  <c r="V41" i="4"/>
  <c r="K31" i="8" s="1"/>
  <c r="U41" i="4"/>
  <c r="J31" i="8" s="1"/>
  <c r="T41" i="4"/>
  <c r="I31" i="8" s="1"/>
  <c r="S41" i="4"/>
  <c r="H31" i="8" s="1"/>
  <c r="R41" i="4"/>
  <c r="G31" i="8" s="1"/>
  <c r="Q41" i="4"/>
  <c r="F31" i="8" s="1"/>
  <c r="P41" i="4"/>
  <c r="E31" i="8" s="1"/>
  <c r="O41" i="4"/>
  <c r="D31" i="8" s="1"/>
  <c r="AR40" i="4"/>
  <c r="AG30" i="8" s="1"/>
  <c r="AQ40" i="4"/>
  <c r="AF30" i="8" s="1"/>
  <c r="AP40" i="4"/>
  <c r="AE30" i="8" s="1"/>
  <c r="AO40" i="4"/>
  <c r="AD30" i="8" s="1"/>
  <c r="AN40" i="4"/>
  <c r="AC30" i="8" s="1"/>
  <c r="AM40" i="4"/>
  <c r="AB30" i="8" s="1"/>
  <c r="AL40" i="4"/>
  <c r="AA30" i="8" s="1"/>
  <c r="AK40" i="4"/>
  <c r="Z30" i="8" s="1"/>
  <c r="AJ40" i="4"/>
  <c r="Y30" i="8" s="1"/>
  <c r="AI40" i="4"/>
  <c r="X30" i="8" s="1"/>
  <c r="AH40" i="4"/>
  <c r="W30" i="8" s="1"/>
  <c r="AG40" i="4"/>
  <c r="V30" i="8" s="1"/>
  <c r="AF40" i="4"/>
  <c r="U30" i="8" s="1"/>
  <c r="AE40" i="4"/>
  <c r="T30" i="8" s="1"/>
  <c r="AD40" i="4"/>
  <c r="S30" i="8" s="1"/>
  <c r="AC40" i="4"/>
  <c r="R30" i="8" s="1"/>
  <c r="AB40" i="4"/>
  <c r="Q30" i="8" s="1"/>
  <c r="AA40" i="4"/>
  <c r="P30" i="8" s="1"/>
  <c r="Z40" i="4"/>
  <c r="O30" i="8" s="1"/>
  <c r="Y40" i="4"/>
  <c r="N30" i="8" s="1"/>
  <c r="X40" i="4"/>
  <c r="M30" i="8" s="1"/>
  <c r="W40" i="4"/>
  <c r="L30" i="8" s="1"/>
  <c r="V40" i="4"/>
  <c r="K30" i="8" s="1"/>
  <c r="U40" i="4"/>
  <c r="J30" i="8" s="1"/>
  <c r="T40" i="4"/>
  <c r="I30" i="8" s="1"/>
  <c r="S40" i="4"/>
  <c r="H30" i="8" s="1"/>
  <c r="R40" i="4"/>
  <c r="G30" i="8" s="1"/>
  <c r="Q40" i="4"/>
  <c r="F30" i="8" s="1"/>
  <c r="P40" i="4"/>
  <c r="E30" i="8" s="1"/>
  <c r="O40" i="4"/>
  <c r="D30" i="8" s="1"/>
  <c r="AR39" i="4"/>
  <c r="AG29" i="8" s="1"/>
  <c r="AQ39" i="4"/>
  <c r="AF29" i="8" s="1"/>
  <c r="AP39" i="4"/>
  <c r="AE29" i="8" s="1"/>
  <c r="AO39" i="4"/>
  <c r="AD29" i="8" s="1"/>
  <c r="AN39" i="4"/>
  <c r="AC29" i="8" s="1"/>
  <c r="AM39" i="4"/>
  <c r="AB29" i="8" s="1"/>
  <c r="AL39" i="4"/>
  <c r="AA29" i="8" s="1"/>
  <c r="AK39" i="4"/>
  <c r="Z29" i="8" s="1"/>
  <c r="AJ39" i="4"/>
  <c r="Y29" i="8" s="1"/>
  <c r="AI39" i="4"/>
  <c r="X29" i="8" s="1"/>
  <c r="AH39" i="4"/>
  <c r="W29" i="8" s="1"/>
  <c r="AG39" i="4"/>
  <c r="V29" i="8" s="1"/>
  <c r="AF39" i="4"/>
  <c r="U29" i="8" s="1"/>
  <c r="AE39" i="4"/>
  <c r="T29" i="8" s="1"/>
  <c r="AD39" i="4"/>
  <c r="S29" i="8" s="1"/>
  <c r="AC39" i="4"/>
  <c r="R29" i="8" s="1"/>
  <c r="AB39" i="4"/>
  <c r="Q29" i="8" s="1"/>
  <c r="AA39" i="4"/>
  <c r="P29" i="8" s="1"/>
  <c r="Z39" i="4"/>
  <c r="O29" i="8" s="1"/>
  <c r="Y39" i="4"/>
  <c r="N29" i="8" s="1"/>
  <c r="X39" i="4"/>
  <c r="M29" i="8" s="1"/>
  <c r="W39" i="4"/>
  <c r="L29" i="8" s="1"/>
  <c r="V39" i="4"/>
  <c r="K29" i="8" s="1"/>
  <c r="U39" i="4"/>
  <c r="J29" i="8" s="1"/>
  <c r="T39" i="4"/>
  <c r="I29" i="8" s="1"/>
  <c r="S39" i="4"/>
  <c r="H29" i="8" s="1"/>
  <c r="R39" i="4"/>
  <c r="G29" i="8" s="1"/>
  <c r="Q39" i="4"/>
  <c r="F29" i="8" s="1"/>
  <c r="P39" i="4"/>
  <c r="E29" i="8" s="1"/>
  <c r="O39" i="4"/>
  <c r="D29" i="8" s="1"/>
  <c r="AR38" i="4"/>
  <c r="AG28" i="8" s="1"/>
  <c r="AQ38" i="4"/>
  <c r="AF28" i="8" s="1"/>
  <c r="AP38" i="4"/>
  <c r="AE28" i="8" s="1"/>
  <c r="AO38" i="4"/>
  <c r="AD28" i="8" s="1"/>
  <c r="AN38" i="4"/>
  <c r="AC28" i="8" s="1"/>
  <c r="AM38" i="4"/>
  <c r="AB28" i="8" s="1"/>
  <c r="AL38" i="4"/>
  <c r="AA28" i="8" s="1"/>
  <c r="AK38" i="4"/>
  <c r="Z28" i="8" s="1"/>
  <c r="AJ38" i="4"/>
  <c r="Y28" i="8" s="1"/>
  <c r="AI38" i="4"/>
  <c r="X28" i="8" s="1"/>
  <c r="AH38" i="4"/>
  <c r="W28" i="8" s="1"/>
  <c r="AG38" i="4"/>
  <c r="V28" i="8" s="1"/>
  <c r="AF38" i="4"/>
  <c r="U28" i="8" s="1"/>
  <c r="AE38" i="4"/>
  <c r="T28" i="8" s="1"/>
  <c r="AD38" i="4"/>
  <c r="S28" i="8" s="1"/>
  <c r="AC38" i="4"/>
  <c r="R28" i="8" s="1"/>
  <c r="AB38" i="4"/>
  <c r="Q28" i="8" s="1"/>
  <c r="AA38" i="4"/>
  <c r="P28" i="8" s="1"/>
  <c r="Z38" i="4"/>
  <c r="O28" i="8" s="1"/>
  <c r="Y38" i="4"/>
  <c r="N28" i="8" s="1"/>
  <c r="X38" i="4"/>
  <c r="M28" i="8" s="1"/>
  <c r="W38" i="4"/>
  <c r="L28" i="8" s="1"/>
  <c r="V38" i="4"/>
  <c r="K28" i="8" s="1"/>
  <c r="U38" i="4"/>
  <c r="J28" i="8" s="1"/>
  <c r="T38" i="4"/>
  <c r="I28" i="8" s="1"/>
  <c r="S38" i="4"/>
  <c r="R38" i="4"/>
  <c r="G28" i="8" s="1"/>
  <c r="Q38" i="4"/>
  <c r="F28" i="8" s="1"/>
  <c r="P38" i="4"/>
  <c r="E28" i="8" s="1"/>
  <c r="O38" i="4"/>
  <c r="D28" i="8" s="1"/>
  <c r="AR37" i="4"/>
  <c r="AG27" i="8" s="1"/>
  <c r="AQ37" i="4"/>
  <c r="AF27" i="8" s="1"/>
  <c r="AP37" i="4"/>
  <c r="AE27" i="8" s="1"/>
  <c r="AO37" i="4"/>
  <c r="AD27" i="8" s="1"/>
  <c r="AN37" i="4"/>
  <c r="AC27" i="8" s="1"/>
  <c r="AM37" i="4"/>
  <c r="AB27" i="8" s="1"/>
  <c r="AL37" i="4"/>
  <c r="AA27" i="8" s="1"/>
  <c r="AK37" i="4"/>
  <c r="Z27" i="8" s="1"/>
  <c r="AJ37" i="4"/>
  <c r="Y27" i="8" s="1"/>
  <c r="AI37" i="4"/>
  <c r="X27" i="8" s="1"/>
  <c r="AH37" i="4"/>
  <c r="W27" i="8" s="1"/>
  <c r="AG37" i="4"/>
  <c r="V27" i="8" s="1"/>
  <c r="AF37" i="4"/>
  <c r="U27" i="8" s="1"/>
  <c r="AE37" i="4"/>
  <c r="T27" i="8" s="1"/>
  <c r="AD37" i="4"/>
  <c r="S27" i="8" s="1"/>
  <c r="AC37" i="4"/>
  <c r="R27" i="8" s="1"/>
  <c r="AB37" i="4"/>
  <c r="Q27" i="8" s="1"/>
  <c r="AA37" i="4"/>
  <c r="P27" i="8" s="1"/>
  <c r="Z37" i="4"/>
  <c r="O27" i="8" s="1"/>
  <c r="Y37" i="4"/>
  <c r="N27" i="8" s="1"/>
  <c r="X37" i="4"/>
  <c r="M27" i="8" s="1"/>
  <c r="W37" i="4"/>
  <c r="L27" i="8" s="1"/>
  <c r="V37" i="4"/>
  <c r="K27" i="8" s="1"/>
  <c r="U37" i="4"/>
  <c r="J27" i="8" s="1"/>
  <c r="T37" i="4"/>
  <c r="I27" i="8" s="1"/>
  <c r="S37" i="4"/>
  <c r="H27" i="8" s="1"/>
  <c r="R37" i="4"/>
  <c r="G27" i="8" s="1"/>
  <c r="Q37" i="4"/>
  <c r="P37" i="4"/>
  <c r="E27" i="8" s="1"/>
  <c r="O37" i="4"/>
  <c r="D27" i="8" s="1"/>
  <c r="AR36" i="4"/>
  <c r="AG26" i="8" s="1"/>
  <c r="AQ36" i="4"/>
  <c r="AF26" i="8" s="1"/>
  <c r="AP36" i="4"/>
  <c r="AE26" i="8" s="1"/>
  <c r="AO36" i="4"/>
  <c r="AD26" i="8" s="1"/>
  <c r="AN36" i="4"/>
  <c r="AC26" i="8" s="1"/>
  <c r="AM36" i="4"/>
  <c r="AB26" i="8" s="1"/>
  <c r="AL36" i="4"/>
  <c r="AA26" i="8" s="1"/>
  <c r="AK36" i="4"/>
  <c r="Z26" i="8" s="1"/>
  <c r="AJ36" i="4"/>
  <c r="Y26" i="8" s="1"/>
  <c r="AI36" i="4"/>
  <c r="X26" i="8" s="1"/>
  <c r="AH36" i="4"/>
  <c r="W26" i="8" s="1"/>
  <c r="AG36" i="4"/>
  <c r="V26" i="8" s="1"/>
  <c r="AF36" i="4"/>
  <c r="U26" i="8" s="1"/>
  <c r="AE36" i="4"/>
  <c r="T26" i="8" s="1"/>
  <c r="AD36" i="4"/>
  <c r="S26" i="8" s="1"/>
  <c r="AC36" i="4"/>
  <c r="R26" i="8" s="1"/>
  <c r="AB36" i="4"/>
  <c r="Q26" i="8" s="1"/>
  <c r="AA36" i="4"/>
  <c r="P26" i="8" s="1"/>
  <c r="Z36" i="4"/>
  <c r="O26" i="8" s="1"/>
  <c r="Y36" i="4"/>
  <c r="N26" i="8" s="1"/>
  <c r="X36" i="4"/>
  <c r="M26" i="8" s="1"/>
  <c r="W36" i="4"/>
  <c r="L26" i="8" s="1"/>
  <c r="V36" i="4"/>
  <c r="K26" i="8" s="1"/>
  <c r="U36" i="4"/>
  <c r="J26" i="8" s="1"/>
  <c r="T36" i="4"/>
  <c r="I26" i="8" s="1"/>
  <c r="S36" i="4"/>
  <c r="H26" i="8" s="1"/>
  <c r="R36" i="4"/>
  <c r="G26" i="8" s="1"/>
  <c r="Q36" i="4"/>
  <c r="F26" i="8" s="1"/>
  <c r="P36" i="4"/>
  <c r="E26" i="8" s="1"/>
  <c r="O36" i="4"/>
  <c r="D26" i="8" s="1"/>
  <c r="AR35" i="4"/>
  <c r="AG25" i="8" s="1"/>
  <c r="AQ35" i="4"/>
  <c r="AF25" i="8" s="1"/>
  <c r="AP35" i="4"/>
  <c r="AE25" i="8" s="1"/>
  <c r="AO35" i="4"/>
  <c r="AD25" i="8" s="1"/>
  <c r="AN35" i="4"/>
  <c r="AC25" i="8" s="1"/>
  <c r="AM35" i="4"/>
  <c r="AB25" i="8" s="1"/>
  <c r="AL35" i="4"/>
  <c r="AA25" i="8" s="1"/>
  <c r="AK35" i="4"/>
  <c r="Z25" i="8" s="1"/>
  <c r="AJ35" i="4"/>
  <c r="Y25" i="8" s="1"/>
  <c r="AI35" i="4"/>
  <c r="X25" i="8" s="1"/>
  <c r="AH35" i="4"/>
  <c r="W25" i="8" s="1"/>
  <c r="AG35" i="4"/>
  <c r="V25" i="8" s="1"/>
  <c r="AF35" i="4"/>
  <c r="U25" i="8" s="1"/>
  <c r="AE35" i="4"/>
  <c r="T25" i="8" s="1"/>
  <c r="AD35" i="4"/>
  <c r="S25" i="8" s="1"/>
  <c r="AC35" i="4"/>
  <c r="R25" i="8" s="1"/>
  <c r="AB35" i="4"/>
  <c r="Q25" i="8" s="1"/>
  <c r="AA35" i="4"/>
  <c r="P25" i="8" s="1"/>
  <c r="Z35" i="4"/>
  <c r="O25" i="8" s="1"/>
  <c r="Y35" i="4"/>
  <c r="N25" i="8" s="1"/>
  <c r="X35" i="4"/>
  <c r="M25" i="8" s="1"/>
  <c r="W35" i="4"/>
  <c r="L25" i="8" s="1"/>
  <c r="V35" i="4"/>
  <c r="K25" i="8" s="1"/>
  <c r="U35" i="4"/>
  <c r="J25" i="8" s="1"/>
  <c r="T35" i="4"/>
  <c r="I25" i="8" s="1"/>
  <c r="S35" i="4"/>
  <c r="H25" i="8" s="1"/>
  <c r="R35" i="4"/>
  <c r="G25" i="8" s="1"/>
  <c r="Q35" i="4"/>
  <c r="F25" i="8" s="1"/>
  <c r="P35" i="4"/>
  <c r="E25" i="8" s="1"/>
  <c r="O35" i="4"/>
  <c r="D25" i="8" s="1"/>
  <c r="AR34" i="4"/>
  <c r="AG24" i="8" s="1"/>
  <c r="AQ34" i="4"/>
  <c r="AF24" i="8" s="1"/>
  <c r="AP34" i="4"/>
  <c r="AE24" i="8" s="1"/>
  <c r="AO34" i="4"/>
  <c r="AD24" i="8" s="1"/>
  <c r="AN34" i="4"/>
  <c r="AC24" i="8" s="1"/>
  <c r="AM34" i="4"/>
  <c r="AB24" i="8" s="1"/>
  <c r="AL34" i="4"/>
  <c r="AA24" i="8" s="1"/>
  <c r="AK34" i="4"/>
  <c r="Z24" i="8" s="1"/>
  <c r="AJ34" i="4"/>
  <c r="Y24" i="8" s="1"/>
  <c r="AI34" i="4"/>
  <c r="X24" i="8" s="1"/>
  <c r="AH34" i="4"/>
  <c r="W24" i="8" s="1"/>
  <c r="AG34" i="4"/>
  <c r="V24" i="8" s="1"/>
  <c r="AF34" i="4"/>
  <c r="U24" i="8" s="1"/>
  <c r="AE34" i="4"/>
  <c r="T24" i="8" s="1"/>
  <c r="AD34" i="4"/>
  <c r="S24" i="8" s="1"/>
  <c r="AC34" i="4"/>
  <c r="R24" i="8" s="1"/>
  <c r="AB34" i="4"/>
  <c r="Q24" i="8" s="1"/>
  <c r="AA34" i="4"/>
  <c r="P24" i="8" s="1"/>
  <c r="Z34" i="4"/>
  <c r="O24" i="8" s="1"/>
  <c r="Y34" i="4"/>
  <c r="N24" i="8" s="1"/>
  <c r="X34" i="4"/>
  <c r="M24" i="8" s="1"/>
  <c r="W34" i="4"/>
  <c r="L24" i="8" s="1"/>
  <c r="V34" i="4"/>
  <c r="K24" i="8" s="1"/>
  <c r="U34" i="4"/>
  <c r="J24" i="8" s="1"/>
  <c r="T34" i="4"/>
  <c r="I24" i="8" s="1"/>
  <c r="S34" i="4"/>
  <c r="H24" i="8" s="1"/>
  <c r="R34" i="4"/>
  <c r="G24" i="8" s="1"/>
  <c r="Q34" i="4"/>
  <c r="F24" i="8" s="1"/>
  <c r="P34" i="4"/>
  <c r="E24" i="8" s="1"/>
  <c r="O34" i="4"/>
  <c r="D24" i="8" s="1"/>
  <c r="AR33" i="4"/>
  <c r="AG23" i="8" s="1"/>
  <c r="AQ33" i="4"/>
  <c r="AF23" i="8" s="1"/>
  <c r="AP33" i="4"/>
  <c r="AE23" i="8" s="1"/>
  <c r="AO33" i="4"/>
  <c r="AD23" i="8" s="1"/>
  <c r="AN33" i="4"/>
  <c r="AC23" i="8" s="1"/>
  <c r="AM33" i="4"/>
  <c r="AB23" i="8" s="1"/>
  <c r="AL33" i="4"/>
  <c r="AA23" i="8" s="1"/>
  <c r="AK33" i="4"/>
  <c r="Z23" i="8" s="1"/>
  <c r="AJ33" i="4"/>
  <c r="Y23" i="8" s="1"/>
  <c r="AI33" i="4"/>
  <c r="X23" i="8" s="1"/>
  <c r="AH33" i="4"/>
  <c r="W23" i="8" s="1"/>
  <c r="AG33" i="4"/>
  <c r="V23" i="8" s="1"/>
  <c r="AF33" i="4"/>
  <c r="U23" i="8" s="1"/>
  <c r="AE33" i="4"/>
  <c r="T23" i="8" s="1"/>
  <c r="AD33" i="4"/>
  <c r="S23" i="8" s="1"/>
  <c r="AC33" i="4"/>
  <c r="R23" i="8" s="1"/>
  <c r="AB33" i="4"/>
  <c r="Q23" i="8" s="1"/>
  <c r="AA33" i="4"/>
  <c r="P23" i="8" s="1"/>
  <c r="Z33" i="4"/>
  <c r="O23" i="8" s="1"/>
  <c r="Y33" i="4"/>
  <c r="N23" i="8" s="1"/>
  <c r="X33" i="4"/>
  <c r="M23" i="8" s="1"/>
  <c r="W33" i="4"/>
  <c r="L23" i="8" s="1"/>
  <c r="V33" i="4"/>
  <c r="K23" i="8" s="1"/>
  <c r="U33" i="4"/>
  <c r="J23" i="8" s="1"/>
  <c r="T33" i="4"/>
  <c r="I23" i="8" s="1"/>
  <c r="S33" i="4"/>
  <c r="H23" i="8" s="1"/>
  <c r="R33" i="4"/>
  <c r="G23" i="8" s="1"/>
  <c r="Q33" i="4"/>
  <c r="P33" i="4"/>
  <c r="E23" i="8" s="1"/>
  <c r="O33" i="4"/>
  <c r="D23" i="8" s="1"/>
  <c r="AR32" i="4"/>
  <c r="AG22" i="8" s="1"/>
  <c r="AQ32" i="4"/>
  <c r="AF22" i="8" s="1"/>
  <c r="AP32" i="4"/>
  <c r="AE22" i="8" s="1"/>
  <c r="AO32" i="4"/>
  <c r="AD22" i="8" s="1"/>
  <c r="AN32" i="4"/>
  <c r="AC22" i="8" s="1"/>
  <c r="AM32" i="4"/>
  <c r="AB22" i="8" s="1"/>
  <c r="AL32" i="4"/>
  <c r="AA22" i="8" s="1"/>
  <c r="AK32" i="4"/>
  <c r="Z22" i="8" s="1"/>
  <c r="AJ32" i="4"/>
  <c r="Y22" i="8" s="1"/>
  <c r="AI32" i="4"/>
  <c r="X22" i="8" s="1"/>
  <c r="AH32" i="4"/>
  <c r="W22" i="8" s="1"/>
  <c r="AG32" i="4"/>
  <c r="V22" i="8" s="1"/>
  <c r="AF32" i="4"/>
  <c r="U22" i="8" s="1"/>
  <c r="AE32" i="4"/>
  <c r="T22" i="8" s="1"/>
  <c r="AD32" i="4"/>
  <c r="S22" i="8" s="1"/>
  <c r="AC32" i="4"/>
  <c r="R22" i="8" s="1"/>
  <c r="AB32" i="4"/>
  <c r="Q22" i="8" s="1"/>
  <c r="AA32" i="4"/>
  <c r="P22" i="8" s="1"/>
  <c r="Z32" i="4"/>
  <c r="O22" i="8" s="1"/>
  <c r="Y32" i="4"/>
  <c r="N22" i="8" s="1"/>
  <c r="X32" i="4"/>
  <c r="M22" i="8" s="1"/>
  <c r="W32" i="4"/>
  <c r="L22" i="8" s="1"/>
  <c r="V32" i="4"/>
  <c r="K22" i="8" s="1"/>
  <c r="U32" i="4"/>
  <c r="J22" i="8" s="1"/>
  <c r="T32" i="4"/>
  <c r="I22" i="8" s="1"/>
  <c r="S32" i="4"/>
  <c r="H22" i="8" s="1"/>
  <c r="R32" i="4"/>
  <c r="G22" i="8" s="1"/>
  <c r="Q32" i="4"/>
  <c r="F22" i="8" s="1"/>
  <c r="P32" i="4"/>
  <c r="E22" i="8" s="1"/>
  <c r="O32" i="4"/>
  <c r="D22" i="8" s="1"/>
  <c r="AR31" i="4"/>
  <c r="AG21" i="8" s="1"/>
  <c r="AQ31" i="4"/>
  <c r="AF21" i="8" s="1"/>
  <c r="AP31" i="4"/>
  <c r="AE21" i="8" s="1"/>
  <c r="AO31" i="4"/>
  <c r="AD21" i="8" s="1"/>
  <c r="AN31" i="4"/>
  <c r="AC21" i="8" s="1"/>
  <c r="AM31" i="4"/>
  <c r="AB21" i="8" s="1"/>
  <c r="AL31" i="4"/>
  <c r="AA21" i="8" s="1"/>
  <c r="AK31" i="4"/>
  <c r="Z21" i="8" s="1"/>
  <c r="AJ31" i="4"/>
  <c r="Y21" i="8" s="1"/>
  <c r="AI31" i="4"/>
  <c r="X21" i="8" s="1"/>
  <c r="AH31" i="4"/>
  <c r="W21" i="8" s="1"/>
  <c r="AG31" i="4"/>
  <c r="V21" i="8" s="1"/>
  <c r="AF31" i="4"/>
  <c r="U21" i="8" s="1"/>
  <c r="AE31" i="4"/>
  <c r="T21" i="8" s="1"/>
  <c r="AD31" i="4"/>
  <c r="S21" i="8" s="1"/>
  <c r="AC31" i="4"/>
  <c r="R21" i="8" s="1"/>
  <c r="AB31" i="4"/>
  <c r="Q21" i="8" s="1"/>
  <c r="AA31" i="4"/>
  <c r="P21" i="8" s="1"/>
  <c r="Z31" i="4"/>
  <c r="O21" i="8" s="1"/>
  <c r="Y31" i="4"/>
  <c r="N21" i="8" s="1"/>
  <c r="X31" i="4"/>
  <c r="M21" i="8" s="1"/>
  <c r="W31" i="4"/>
  <c r="L21" i="8" s="1"/>
  <c r="V31" i="4"/>
  <c r="K21" i="8" s="1"/>
  <c r="U31" i="4"/>
  <c r="J21" i="8" s="1"/>
  <c r="T31" i="4"/>
  <c r="I21" i="8" s="1"/>
  <c r="S31" i="4"/>
  <c r="H21" i="8" s="1"/>
  <c r="R31" i="4"/>
  <c r="G21" i="8" s="1"/>
  <c r="Q31" i="4"/>
  <c r="F21" i="8" s="1"/>
  <c r="P31" i="4"/>
  <c r="E21" i="8" s="1"/>
  <c r="O31" i="4"/>
  <c r="D21" i="8" s="1"/>
  <c r="AR30" i="4"/>
  <c r="AG20" i="8" s="1"/>
  <c r="AQ30" i="4"/>
  <c r="AF20" i="8" s="1"/>
  <c r="AP30" i="4"/>
  <c r="AE20" i="8" s="1"/>
  <c r="AO30" i="4"/>
  <c r="AD20" i="8" s="1"/>
  <c r="AN30" i="4"/>
  <c r="AC20" i="8" s="1"/>
  <c r="AM30" i="4"/>
  <c r="AB20" i="8" s="1"/>
  <c r="AL30" i="4"/>
  <c r="AA20" i="8" s="1"/>
  <c r="AK30" i="4"/>
  <c r="Z20" i="8" s="1"/>
  <c r="AJ30" i="4"/>
  <c r="Y20" i="8" s="1"/>
  <c r="AI30" i="4"/>
  <c r="X20" i="8" s="1"/>
  <c r="AH30" i="4"/>
  <c r="W20" i="8" s="1"/>
  <c r="AG30" i="4"/>
  <c r="V20" i="8" s="1"/>
  <c r="AF30" i="4"/>
  <c r="U20" i="8" s="1"/>
  <c r="AE30" i="4"/>
  <c r="T20" i="8" s="1"/>
  <c r="AD30" i="4"/>
  <c r="S20" i="8" s="1"/>
  <c r="AC30" i="4"/>
  <c r="R20" i="8" s="1"/>
  <c r="AB30" i="4"/>
  <c r="Q20" i="8" s="1"/>
  <c r="AA30" i="4"/>
  <c r="P20" i="8" s="1"/>
  <c r="Z30" i="4"/>
  <c r="O20" i="8" s="1"/>
  <c r="Y30" i="4"/>
  <c r="N20" i="8" s="1"/>
  <c r="X30" i="4"/>
  <c r="M20" i="8" s="1"/>
  <c r="W30" i="4"/>
  <c r="L20" i="8" s="1"/>
  <c r="V30" i="4"/>
  <c r="K20" i="8" s="1"/>
  <c r="U30" i="4"/>
  <c r="J20" i="8" s="1"/>
  <c r="T30" i="4"/>
  <c r="I20" i="8" s="1"/>
  <c r="S30" i="4"/>
  <c r="H20" i="8" s="1"/>
  <c r="R30" i="4"/>
  <c r="G20" i="8" s="1"/>
  <c r="Q30" i="4"/>
  <c r="F20" i="8" s="1"/>
  <c r="P30" i="4"/>
  <c r="E20" i="8" s="1"/>
  <c r="O30" i="4"/>
  <c r="D20" i="8" s="1"/>
  <c r="AR29" i="4"/>
  <c r="AG19" i="8" s="1"/>
  <c r="AQ29" i="4"/>
  <c r="AF19" i="8" s="1"/>
  <c r="AP29" i="4"/>
  <c r="AE19" i="8" s="1"/>
  <c r="AO29" i="4"/>
  <c r="AD19" i="8" s="1"/>
  <c r="AN29" i="4"/>
  <c r="AC19" i="8" s="1"/>
  <c r="AM29" i="4"/>
  <c r="AB19" i="8" s="1"/>
  <c r="AL29" i="4"/>
  <c r="AA19" i="8" s="1"/>
  <c r="AK29" i="4"/>
  <c r="Z19" i="8" s="1"/>
  <c r="AJ29" i="4"/>
  <c r="Y19" i="8" s="1"/>
  <c r="AI29" i="4"/>
  <c r="X19" i="8" s="1"/>
  <c r="AH29" i="4"/>
  <c r="W19" i="8" s="1"/>
  <c r="AG29" i="4"/>
  <c r="V19" i="8" s="1"/>
  <c r="AF29" i="4"/>
  <c r="U19" i="8" s="1"/>
  <c r="AE29" i="4"/>
  <c r="T19" i="8" s="1"/>
  <c r="AD29" i="4"/>
  <c r="S19" i="8" s="1"/>
  <c r="AC29" i="4"/>
  <c r="R19" i="8" s="1"/>
  <c r="AB29" i="4"/>
  <c r="Q19" i="8" s="1"/>
  <c r="AA29" i="4"/>
  <c r="P19" i="8" s="1"/>
  <c r="Z29" i="4"/>
  <c r="O19" i="8" s="1"/>
  <c r="Y29" i="4"/>
  <c r="N19" i="8" s="1"/>
  <c r="X29" i="4"/>
  <c r="M19" i="8" s="1"/>
  <c r="W29" i="4"/>
  <c r="L19" i="8" s="1"/>
  <c r="V29" i="4"/>
  <c r="K19" i="8" s="1"/>
  <c r="U29" i="4"/>
  <c r="J19" i="8" s="1"/>
  <c r="T29" i="4"/>
  <c r="I19" i="8" s="1"/>
  <c r="S29" i="4"/>
  <c r="H19" i="8" s="1"/>
  <c r="R29" i="4"/>
  <c r="G19" i="8" s="1"/>
  <c r="Q29" i="4"/>
  <c r="F19" i="8" s="1"/>
  <c r="P29" i="4"/>
  <c r="E19" i="8" s="1"/>
  <c r="O29" i="4"/>
  <c r="D19" i="8" s="1"/>
  <c r="AR28" i="4"/>
  <c r="AG18" i="8" s="1"/>
  <c r="AQ28" i="4"/>
  <c r="AF18" i="8" s="1"/>
  <c r="AP28" i="4"/>
  <c r="AE18" i="8" s="1"/>
  <c r="AO28" i="4"/>
  <c r="AD18" i="8" s="1"/>
  <c r="AN28" i="4"/>
  <c r="AC18" i="8" s="1"/>
  <c r="AM28" i="4"/>
  <c r="AB18" i="8" s="1"/>
  <c r="AL28" i="4"/>
  <c r="AA18" i="8" s="1"/>
  <c r="AK28" i="4"/>
  <c r="Z18" i="8" s="1"/>
  <c r="AJ28" i="4"/>
  <c r="Y18" i="8" s="1"/>
  <c r="AI28" i="4"/>
  <c r="X18" i="8" s="1"/>
  <c r="AH28" i="4"/>
  <c r="W18" i="8" s="1"/>
  <c r="AG28" i="4"/>
  <c r="V18" i="8" s="1"/>
  <c r="AF28" i="4"/>
  <c r="U18" i="8" s="1"/>
  <c r="AE28" i="4"/>
  <c r="T18" i="8" s="1"/>
  <c r="AD28" i="4"/>
  <c r="S18" i="8" s="1"/>
  <c r="AC28" i="4"/>
  <c r="R18" i="8" s="1"/>
  <c r="AB28" i="4"/>
  <c r="Q18" i="8" s="1"/>
  <c r="AA28" i="4"/>
  <c r="P18" i="8" s="1"/>
  <c r="Z28" i="4"/>
  <c r="O18" i="8" s="1"/>
  <c r="Y28" i="4"/>
  <c r="N18" i="8" s="1"/>
  <c r="X28" i="4"/>
  <c r="M18" i="8" s="1"/>
  <c r="W28" i="4"/>
  <c r="L18" i="8" s="1"/>
  <c r="V28" i="4"/>
  <c r="K18" i="8" s="1"/>
  <c r="U28" i="4"/>
  <c r="J18" i="8" s="1"/>
  <c r="T28" i="4"/>
  <c r="I18" i="8" s="1"/>
  <c r="S28" i="4"/>
  <c r="H18" i="8" s="1"/>
  <c r="R28" i="4"/>
  <c r="G18" i="8" s="1"/>
  <c r="Q28" i="4"/>
  <c r="F18" i="8" s="1"/>
  <c r="P28" i="4"/>
  <c r="E18" i="8" s="1"/>
  <c r="O28" i="4"/>
  <c r="AR27" i="4"/>
  <c r="AG17" i="8" s="1"/>
  <c r="AQ27" i="4"/>
  <c r="AF17" i="8" s="1"/>
  <c r="AP27" i="4"/>
  <c r="AE17" i="8" s="1"/>
  <c r="AO27" i="4"/>
  <c r="AD17" i="8" s="1"/>
  <c r="AN27" i="4"/>
  <c r="AC17" i="8" s="1"/>
  <c r="AM27" i="4"/>
  <c r="AB17" i="8" s="1"/>
  <c r="AL27" i="4"/>
  <c r="AA17" i="8" s="1"/>
  <c r="AK27" i="4"/>
  <c r="Z17" i="8" s="1"/>
  <c r="AJ27" i="4"/>
  <c r="Y17" i="8" s="1"/>
  <c r="AI27" i="4"/>
  <c r="X17" i="8" s="1"/>
  <c r="AH27" i="4"/>
  <c r="W17" i="8" s="1"/>
  <c r="AG27" i="4"/>
  <c r="V17" i="8" s="1"/>
  <c r="AF27" i="4"/>
  <c r="U17" i="8" s="1"/>
  <c r="AE27" i="4"/>
  <c r="T17" i="8" s="1"/>
  <c r="AD27" i="4"/>
  <c r="S17" i="8" s="1"/>
  <c r="AC27" i="4"/>
  <c r="R17" i="8" s="1"/>
  <c r="AA27" i="4"/>
  <c r="P17" i="8" s="1"/>
  <c r="Z27" i="4"/>
  <c r="O17" i="8" s="1"/>
  <c r="Y27" i="4"/>
  <c r="N17" i="8" s="1"/>
  <c r="X27" i="4"/>
  <c r="M17" i="8" s="1"/>
  <c r="W27" i="4"/>
  <c r="L17" i="8" s="1"/>
  <c r="V27" i="4"/>
  <c r="K17" i="8" s="1"/>
  <c r="U27" i="4"/>
  <c r="J17" i="8" s="1"/>
  <c r="T27" i="4"/>
  <c r="I17" i="8" s="1"/>
  <c r="S27" i="4"/>
  <c r="H17" i="8" s="1"/>
  <c r="R27" i="4"/>
  <c r="G17" i="8" s="1"/>
  <c r="Q27" i="4"/>
  <c r="F17" i="8" s="1"/>
  <c r="P27" i="4"/>
  <c r="O27" i="4"/>
  <c r="D17" i="8" s="1"/>
  <c r="AR26" i="4"/>
  <c r="AG16" i="8" s="1"/>
  <c r="AQ26" i="4"/>
  <c r="AF16" i="8" s="1"/>
  <c r="AP26" i="4"/>
  <c r="AE16" i="8" s="1"/>
  <c r="AO26" i="4"/>
  <c r="AD16" i="8" s="1"/>
  <c r="AN26" i="4"/>
  <c r="AC16" i="8" s="1"/>
  <c r="AM26" i="4"/>
  <c r="AB16" i="8" s="1"/>
  <c r="AL26" i="4"/>
  <c r="AA16" i="8" s="1"/>
  <c r="AK26" i="4"/>
  <c r="Z16" i="8" s="1"/>
  <c r="AJ26" i="4"/>
  <c r="Y16" i="8" s="1"/>
  <c r="AI26" i="4"/>
  <c r="X16" i="8" s="1"/>
  <c r="AH26" i="4"/>
  <c r="W16" i="8" s="1"/>
  <c r="AG26" i="4"/>
  <c r="V16" i="8" s="1"/>
  <c r="AF26" i="4"/>
  <c r="U16" i="8" s="1"/>
  <c r="AE26" i="4"/>
  <c r="T16" i="8" s="1"/>
  <c r="AD26" i="4"/>
  <c r="S16" i="8" s="1"/>
  <c r="AC26" i="4"/>
  <c r="R16" i="8" s="1"/>
  <c r="AB26" i="4"/>
  <c r="Q16" i="8" s="1"/>
  <c r="AA26" i="4"/>
  <c r="P16" i="8" s="1"/>
  <c r="Z26" i="4"/>
  <c r="O16" i="8" s="1"/>
  <c r="Y26" i="4"/>
  <c r="N16" i="8" s="1"/>
  <c r="X26" i="4"/>
  <c r="M16" i="8" s="1"/>
  <c r="W26" i="4"/>
  <c r="L16" i="8" s="1"/>
  <c r="V26" i="4"/>
  <c r="K16" i="8" s="1"/>
  <c r="U26" i="4"/>
  <c r="J16" i="8" s="1"/>
  <c r="T26" i="4"/>
  <c r="I16" i="8" s="1"/>
  <c r="S26" i="4"/>
  <c r="H16" i="8" s="1"/>
  <c r="R26" i="4"/>
  <c r="G16" i="8" s="1"/>
  <c r="Q26" i="4"/>
  <c r="F16" i="8" s="1"/>
  <c r="P26" i="4"/>
  <c r="E16" i="8" s="1"/>
  <c r="O26" i="4"/>
  <c r="D16" i="8" s="1"/>
  <c r="AR25" i="4"/>
  <c r="AG15" i="8" s="1"/>
  <c r="AQ25" i="4"/>
  <c r="AF15" i="8" s="1"/>
  <c r="AP25" i="4"/>
  <c r="AE15" i="8" s="1"/>
  <c r="AO25" i="4"/>
  <c r="AD15" i="8" s="1"/>
  <c r="AN25" i="4"/>
  <c r="AC15" i="8" s="1"/>
  <c r="AM25" i="4"/>
  <c r="AB15" i="8" s="1"/>
  <c r="AL25" i="4"/>
  <c r="AA15" i="8" s="1"/>
  <c r="AK25" i="4"/>
  <c r="Z15" i="8" s="1"/>
  <c r="AJ25" i="4"/>
  <c r="Y15" i="8" s="1"/>
  <c r="AI25" i="4"/>
  <c r="X15" i="8" s="1"/>
  <c r="AH25" i="4"/>
  <c r="W15" i="8" s="1"/>
  <c r="AG25" i="4"/>
  <c r="V15" i="8" s="1"/>
  <c r="AF25" i="4"/>
  <c r="U15" i="8" s="1"/>
  <c r="AE25" i="4"/>
  <c r="T15" i="8" s="1"/>
  <c r="AD25" i="4"/>
  <c r="S15" i="8" s="1"/>
  <c r="AC25" i="4"/>
  <c r="R15" i="8" s="1"/>
  <c r="AB25" i="4"/>
  <c r="Q15" i="8" s="1"/>
  <c r="AA25" i="4"/>
  <c r="P15" i="8" s="1"/>
  <c r="Z25" i="4"/>
  <c r="O15" i="8" s="1"/>
  <c r="Y25" i="4"/>
  <c r="N15" i="8" s="1"/>
  <c r="X25" i="4"/>
  <c r="M15" i="8" s="1"/>
  <c r="W25" i="4"/>
  <c r="L15" i="8" s="1"/>
  <c r="V25" i="4"/>
  <c r="K15" i="8" s="1"/>
  <c r="U25" i="4"/>
  <c r="J15" i="8" s="1"/>
  <c r="T25" i="4"/>
  <c r="I15" i="8" s="1"/>
  <c r="S25" i="4"/>
  <c r="H15" i="8" s="1"/>
  <c r="R25" i="4"/>
  <c r="G15" i="8" s="1"/>
  <c r="Q25" i="4"/>
  <c r="F15" i="8" s="1"/>
  <c r="P25" i="4"/>
  <c r="O25" i="4"/>
  <c r="D15" i="8" s="1"/>
  <c r="AR24" i="4"/>
  <c r="AG14" i="8" s="1"/>
  <c r="AQ24" i="4"/>
  <c r="AF14" i="8" s="1"/>
  <c r="AP24" i="4"/>
  <c r="AE14" i="8" s="1"/>
  <c r="AO24" i="4"/>
  <c r="AD14" i="8" s="1"/>
  <c r="AN24" i="4"/>
  <c r="AC14" i="8" s="1"/>
  <c r="AM24" i="4"/>
  <c r="AB14" i="8" s="1"/>
  <c r="AL24" i="4"/>
  <c r="AA14" i="8" s="1"/>
  <c r="AK24" i="4"/>
  <c r="Z14" i="8" s="1"/>
  <c r="AJ24" i="4"/>
  <c r="Y14" i="8" s="1"/>
  <c r="AI24" i="4"/>
  <c r="X14" i="8" s="1"/>
  <c r="AH24" i="4"/>
  <c r="W14" i="8" s="1"/>
  <c r="AG24" i="4"/>
  <c r="V14" i="8" s="1"/>
  <c r="AF24" i="4"/>
  <c r="U14" i="8" s="1"/>
  <c r="AE24" i="4"/>
  <c r="T14" i="8" s="1"/>
  <c r="AD24" i="4"/>
  <c r="S14" i="8" s="1"/>
  <c r="AC24" i="4"/>
  <c r="R14" i="8" s="1"/>
  <c r="AB24" i="4"/>
  <c r="Q14" i="8" s="1"/>
  <c r="AA24" i="4"/>
  <c r="P14" i="8" s="1"/>
  <c r="Z24" i="4"/>
  <c r="O14" i="8" s="1"/>
  <c r="Y24" i="4"/>
  <c r="N14" i="8" s="1"/>
  <c r="X24" i="4"/>
  <c r="M14" i="8" s="1"/>
  <c r="W24" i="4"/>
  <c r="L14" i="8" s="1"/>
  <c r="V24" i="4"/>
  <c r="K14" i="8" s="1"/>
  <c r="U24" i="4"/>
  <c r="J14" i="8" s="1"/>
  <c r="T24" i="4"/>
  <c r="I14" i="8" s="1"/>
  <c r="S24" i="4"/>
  <c r="H14" i="8" s="1"/>
  <c r="R24" i="4"/>
  <c r="G14" i="8" s="1"/>
  <c r="Q24" i="4"/>
  <c r="F14" i="8" s="1"/>
  <c r="P24" i="4"/>
  <c r="E14" i="8" s="1"/>
  <c r="O24" i="4"/>
  <c r="D14" i="8" s="1"/>
  <c r="AR23" i="4"/>
  <c r="AG13" i="8" s="1"/>
  <c r="AQ23" i="4"/>
  <c r="AF13" i="8" s="1"/>
  <c r="AP23" i="4"/>
  <c r="AE13" i="8" s="1"/>
  <c r="AO23" i="4"/>
  <c r="AD13" i="8" s="1"/>
  <c r="AN23" i="4"/>
  <c r="AC13" i="8" s="1"/>
  <c r="AM23" i="4"/>
  <c r="AB13" i="8" s="1"/>
  <c r="AL23" i="4"/>
  <c r="AA13" i="8" s="1"/>
  <c r="AK23" i="4"/>
  <c r="Z13" i="8" s="1"/>
  <c r="AJ23" i="4"/>
  <c r="Y13" i="8" s="1"/>
  <c r="AI23" i="4"/>
  <c r="X13" i="8" s="1"/>
  <c r="AH23" i="4"/>
  <c r="W13" i="8" s="1"/>
  <c r="AG23" i="4"/>
  <c r="V13" i="8" s="1"/>
  <c r="AF23" i="4"/>
  <c r="U13" i="8" s="1"/>
  <c r="AE23" i="4"/>
  <c r="T13" i="8" s="1"/>
  <c r="AD23" i="4"/>
  <c r="S13" i="8" s="1"/>
  <c r="AC23" i="4"/>
  <c r="R13" i="8" s="1"/>
  <c r="AB23" i="4"/>
  <c r="Q13" i="8" s="1"/>
  <c r="AA23" i="4"/>
  <c r="P13" i="8" s="1"/>
  <c r="Z23" i="4"/>
  <c r="O13" i="8" s="1"/>
  <c r="Y23" i="4"/>
  <c r="N13" i="8" s="1"/>
  <c r="X23" i="4"/>
  <c r="M13" i="8" s="1"/>
  <c r="W23" i="4"/>
  <c r="L13" i="8" s="1"/>
  <c r="V23" i="4"/>
  <c r="K13" i="8" s="1"/>
  <c r="U23" i="4"/>
  <c r="J13" i="8" s="1"/>
  <c r="T23" i="4"/>
  <c r="I13" i="8" s="1"/>
  <c r="S23" i="4"/>
  <c r="H13" i="8" s="1"/>
  <c r="R23" i="4"/>
  <c r="G13" i="8" s="1"/>
  <c r="Q23" i="4"/>
  <c r="F13" i="8" s="1"/>
  <c r="P23" i="4"/>
  <c r="E13" i="8" s="1"/>
  <c r="O23" i="4"/>
  <c r="D13" i="8" s="1"/>
  <c r="AR22" i="4"/>
  <c r="AG12" i="8" s="1"/>
  <c r="AQ22" i="4"/>
  <c r="AF12" i="8" s="1"/>
  <c r="AP22" i="4"/>
  <c r="AE12" i="8" s="1"/>
  <c r="AO22" i="4"/>
  <c r="AD12" i="8" s="1"/>
  <c r="AN22" i="4"/>
  <c r="AC12" i="8" s="1"/>
  <c r="AM22" i="4"/>
  <c r="AB12" i="8" s="1"/>
  <c r="AL22" i="4"/>
  <c r="AA12" i="8" s="1"/>
  <c r="AK22" i="4"/>
  <c r="Z12" i="8" s="1"/>
  <c r="AJ22" i="4"/>
  <c r="Y12" i="8" s="1"/>
  <c r="AI22" i="4"/>
  <c r="X12" i="8" s="1"/>
  <c r="AH22" i="4"/>
  <c r="W12" i="8" s="1"/>
  <c r="AG22" i="4"/>
  <c r="V12" i="8" s="1"/>
  <c r="AF22" i="4"/>
  <c r="U12" i="8" s="1"/>
  <c r="AE22" i="4"/>
  <c r="T12" i="8" s="1"/>
  <c r="AD22" i="4"/>
  <c r="S12" i="8" s="1"/>
  <c r="AC22" i="4"/>
  <c r="R12" i="8" s="1"/>
  <c r="AB22" i="4"/>
  <c r="Q12" i="8" s="1"/>
  <c r="AA22" i="4"/>
  <c r="P12" i="8" s="1"/>
  <c r="Z22" i="4"/>
  <c r="O12" i="8" s="1"/>
  <c r="Y22" i="4"/>
  <c r="N12" i="8" s="1"/>
  <c r="X22" i="4"/>
  <c r="M12" i="8" s="1"/>
  <c r="W22" i="4"/>
  <c r="L12" i="8" s="1"/>
  <c r="V22" i="4"/>
  <c r="K12" i="8" s="1"/>
  <c r="U22" i="4"/>
  <c r="J12" i="8" s="1"/>
  <c r="T22" i="4"/>
  <c r="I12" i="8" s="1"/>
  <c r="S22" i="4"/>
  <c r="H12" i="8" s="1"/>
  <c r="R22" i="4"/>
  <c r="G12" i="8" s="1"/>
  <c r="Q22" i="4"/>
  <c r="F12" i="8" s="1"/>
  <c r="P22" i="4"/>
  <c r="E12" i="8" s="1"/>
  <c r="O22" i="4"/>
  <c r="D12" i="8" s="1"/>
  <c r="AR21" i="4"/>
  <c r="AG11" i="8" s="1"/>
  <c r="AQ21" i="4"/>
  <c r="AF11" i="8" s="1"/>
  <c r="AP21" i="4"/>
  <c r="AE11" i="8" s="1"/>
  <c r="AO21" i="4"/>
  <c r="AD11" i="8" s="1"/>
  <c r="AN21" i="4"/>
  <c r="AC11" i="8" s="1"/>
  <c r="AM21" i="4"/>
  <c r="AB11" i="8" s="1"/>
  <c r="AL21" i="4"/>
  <c r="AA11" i="8" s="1"/>
  <c r="AK21" i="4"/>
  <c r="Z11" i="8" s="1"/>
  <c r="AJ21" i="4"/>
  <c r="Y11" i="8" s="1"/>
  <c r="AI21" i="4"/>
  <c r="X11" i="8" s="1"/>
  <c r="AH21" i="4"/>
  <c r="W11" i="8" s="1"/>
  <c r="AG21" i="4"/>
  <c r="V11" i="8" s="1"/>
  <c r="AF21" i="4"/>
  <c r="U11" i="8" s="1"/>
  <c r="AE21" i="4"/>
  <c r="T11" i="8" s="1"/>
  <c r="AD21" i="4"/>
  <c r="S11" i="8" s="1"/>
  <c r="AC21" i="4"/>
  <c r="R11" i="8" s="1"/>
  <c r="AB21" i="4"/>
  <c r="Q11" i="8" s="1"/>
  <c r="AA21" i="4"/>
  <c r="P11" i="8" s="1"/>
  <c r="Z21" i="4"/>
  <c r="O11" i="8" s="1"/>
  <c r="Y21" i="4"/>
  <c r="N11" i="8" s="1"/>
  <c r="X21" i="4"/>
  <c r="M11" i="8" s="1"/>
  <c r="W21" i="4"/>
  <c r="L11" i="8" s="1"/>
  <c r="V21" i="4"/>
  <c r="K11" i="8" s="1"/>
  <c r="U21" i="4"/>
  <c r="J11" i="8" s="1"/>
  <c r="T21" i="4"/>
  <c r="I11" i="8" s="1"/>
  <c r="S21" i="4"/>
  <c r="H11" i="8" s="1"/>
  <c r="R21" i="4"/>
  <c r="G11" i="8" s="1"/>
  <c r="Q21" i="4"/>
  <c r="F11" i="8" s="1"/>
  <c r="P21" i="4"/>
  <c r="E11" i="8" s="1"/>
  <c r="O21" i="4"/>
  <c r="D11" i="8" s="1"/>
  <c r="AR20" i="4"/>
  <c r="AG10" i="8" s="1"/>
  <c r="AQ20" i="4"/>
  <c r="AF10" i="8" s="1"/>
  <c r="AP20" i="4"/>
  <c r="AE10" i="8" s="1"/>
  <c r="AO20" i="4"/>
  <c r="AD10" i="8" s="1"/>
  <c r="AN20" i="4"/>
  <c r="AC10" i="8" s="1"/>
  <c r="AM20" i="4"/>
  <c r="AB10" i="8" s="1"/>
  <c r="AL20" i="4"/>
  <c r="AA10" i="8" s="1"/>
  <c r="AK20" i="4"/>
  <c r="Z10" i="8" s="1"/>
  <c r="AJ20" i="4"/>
  <c r="Y10" i="8" s="1"/>
  <c r="AI20" i="4"/>
  <c r="X10" i="8" s="1"/>
  <c r="AH20" i="4"/>
  <c r="W10" i="8" s="1"/>
  <c r="AG20" i="4"/>
  <c r="V10" i="8" s="1"/>
  <c r="AF20" i="4"/>
  <c r="U10" i="8" s="1"/>
  <c r="AE20" i="4"/>
  <c r="T10" i="8" s="1"/>
  <c r="AD20" i="4"/>
  <c r="S10" i="8" s="1"/>
  <c r="AC20" i="4"/>
  <c r="R10" i="8" s="1"/>
  <c r="AB20" i="4"/>
  <c r="Q10" i="8" s="1"/>
  <c r="AA20" i="4"/>
  <c r="P10" i="8" s="1"/>
  <c r="Z20" i="4"/>
  <c r="O10" i="8" s="1"/>
  <c r="Y20" i="4"/>
  <c r="N10" i="8" s="1"/>
  <c r="X20" i="4"/>
  <c r="M10" i="8" s="1"/>
  <c r="W20" i="4"/>
  <c r="L10" i="8" s="1"/>
  <c r="V20" i="4"/>
  <c r="K10" i="8" s="1"/>
  <c r="U20" i="4"/>
  <c r="J10" i="8" s="1"/>
  <c r="T20" i="4"/>
  <c r="I10" i="8" s="1"/>
  <c r="S20" i="4"/>
  <c r="H10" i="8" s="1"/>
  <c r="R20" i="4"/>
  <c r="G10" i="8" s="1"/>
  <c r="Q20" i="4"/>
  <c r="F10" i="8" s="1"/>
  <c r="P20" i="4"/>
  <c r="E10" i="8" s="1"/>
  <c r="O20" i="4"/>
  <c r="D10" i="8" s="1"/>
  <c r="AR19" i="4"/>
  <c r="AG9" i="8" s="1"/>
  <c r="AQ19" i="4"/>
  <c r="AF9" i="8" s="1"/>
  <c r="AP19" i="4"/>
  <c r="AE9" i="8" s="1"/>
  <c r="AO19" i="4"/>
  <c r="AD9" i="8" s="1"/>
  <c r="AN19" i="4"/>
  <c r="AC9" i="8" s="1"/>
  <c r="AM19" i="4"/>
  <c r="AB9" i="8" s="1"/>
  <c r="AL19" i="4"/>
  <c r="AA9" i="8" s="1"/>
  <c r="AK19" i="4"/>
  <c r="Z9" i="8" s="1"/>
  <c r="AJ19" i="4"/>
  <c r="Y9" i="8" s="1"/>
  <c r="AI19" i="4"/>
  <c r="X9" i="8" s="1"/>
  <c r="AH19" i="4"/>
  <c r="W9" i="8" s="1"/>
  <c r="AG19" i="4"/>
  <c r="V9" i="8" s="1"/>
  <c r="AF19" i="4"/>
  <c r="U9" i="8" s="1"/>
  <c r="AE19" i="4"/>
  <c r="T9" i="8" s="1"/>
  <c r="AD19" i="4"/>
  <c r="S9" i="8" s="1"/>
  <c r="AC19" i="4"/>
  <c r="R9" i="8" s="1"/>
  <c r="AB19" i="4"/>
  <c r="Q9" i="8" s="1"/>
  <c r="AA19" i="4"/>
  <c r="P9" i="8" s="1"/>
  <c r="Z19" i="4"/>
  <c r="O9" i="8" s="1"/>
  <c r="Y19" i="4"/>
  <c r="N9" i="8" s="1"/>
  <c r="X19" i="4"/>
  <c r="M9" i="8" s="1"/>
  <c r="W19" i="4"/>
  <c r="L9" i="8" s="1"/>
  <c r="V19" i="4"/>
  <c r="K9" i="8" s="1"/>
  <c r="U19" i="4"/>
  <c r="J9" i="8" s="1"/>
  <c r="T19" i="4"/>
  <c r="I9" i="8" s="1"/>
  <c r="S19" i="4"/>
  <c r="H9" i="8" s="1"/>
  <c r="R19" i="4"/>
  <c r="G9" i="8" s="1"/>
  <c r="Q19" i="4"/>
  <c r="F9" i="8" s="1"/>
  <c r="P19" i="4"/>
  <c r="E9" i="8" s="1"/>
  <c r="O19" i="4"/>
  <c r="D9" i="8" s="1"/>
  <c r="AR18" i="4"/>
  <c r="AG8" i="8" s="1"/>
  <c r="AQ18" i="4"/>
  <c r="AF8" i="8" s="1"/>
  <c r="AP18" i="4"/>
  <c r="AE8" i="8" s="1"/>
  <c r="AO18" i="4"/>
  <c r="AD8" i="8" s="1"/>
  <c r="AN18" i="4"/>
  <c r="AC8" i="8" s="1"/>
  <c r="AM18" i="4"/>
  <c r="AB8" i="8" s="1"/>
  <c r="AL18" i="4"/>
  <c r="AA8" i="8" s="1"/>
  <c r="AK18" i="4"/>
  <c r="Z8" i="8" s="1"/>
  <c r="AJ18" i="4"/>
  <c r="Y8" i="8" s="1"/>
  <c r="AI18" i="4"/>
  <c r="X8" i="8" s="1"/>
  <c r="AH18" i="4"/>
  <c r="W8" i="8" s="1"/>
  <c r="AG18" i="4"/>
  <c r="V8" i="8" s="1"/>
  <c r="AF18" i="4"/>
  <c r="U8" i="8" s="1"/>
  <c r="AE18" i="4"/>
  <c r="T8" i="8" s="1"/>
  <c r="AD18" i="4"/>
  <c r="S8" i="8" s="1"/>
  <c r="AC18" i="4"/>
  <c r="R8" i="8" s="1"/>
  <c r="AB18" i="4"/>
  <c r="Q8" i="8" s="1"/>
  <c r="AA18" i="4"/>
  <c r="P8" i="8" s="1"/>
  <c r="Z18" i="4"/>
  <c r="O8" i="8" s="1"/>
  <c r="Y18" i="4"/>
  <c r="N8" i="8" s="1"/>
  <c r="X18" i="4"/>
  <c r="M8" i="8" s="1"/>
  <c r="W18" i="4"/>
  <c r="L8" i="8" s="1"/>
  <c r="V18" i="4"/>
  <c r="K8" i="8" s="1"/>
  <c r="U18" i="4"/>
  <c r="J8" i="8" s="1"/>
  <c r="T18" i="4"/>
  <c r="I8" i="8" s="1"/>
  <c r="S18" i="4"/>
  <c r="H8" i="8" s="1"/>
  <c r="R18" i="4"/>
  <c r="G8" i="8" s="1"/>
  <c r="Q18" i="4"/>
  <c r="F8" i="8" s="1"/>
  <c r="P18" i="4"/>
  <c r="E8" i="8" s="1"/>
  <c r="O18" i="4"/>
  <c r="D8" i="8" s="1"/>
  <c r="AR17" i="4"/>
  <c r="AG7" i="8" s="1"/>
  <c r="AQ17" i="4"/>
  <c r="AF7" i="8" s="1"/>
  <c r="AP17" i="4"/>
  <c r="AE7" i="8" s="1"/>
  <c r="AO17" i="4"/>
  <c r="AD7" i="8" s="1"/>
  <c r="AN17" i="4"/>
  <c r="AC7" i="8" s="1"/>
  <c r="AM17" i="4"/>
  <c r="AB7" i="8" s="1"/>
  <c r="AL17" i="4"/>
  <c r="AA7" i="8" s="1"/>
  <c r="AK17" i="4"/>
  <c r="Z7" i="8" s="1"/>
  <c r="AJ17" i="4"/>
  <c r="Y7" i="8" s="1"/>
  <c r="AI17" i="4"/>
  <c r="X7" i="8" s="1"/>
  <c r="AH17" i="4"/>
  <c r="W7" i="8" s="1"/>
  <c r="AG17" i="4"/>
  <c r="V7" i="8" s="1"/>
  <c r="AF17" i="4"/>
  <c r="U7" i="8" s="1"/>
  <c r="AE17" i="4"/>
  <c r="T7" i="8" s="1"/>
  <c r="AD17" i="4"/>
  <c r="S7" i="8" s="1"/>
  <c r="AC17" i="4"/>
  <c r="R7" i="8" s="1"/>
  <c r="AB17" i="4"/>
  <c r="Q7" i="8" s="1"/>
  <c r="AA17" i="4"/>
  <c r="P7" i="8" s="1"/>
  <c r="Z17" i="4"/>
  <c r="O7" i="8" s="1"/>
  <c r="Y17" i="4"/>
  <c r="N7" i="8" s="1"/>
  <c r="X17" i="4"/>
  <c r="M7" i="8" s="1"/>
  <c r="W17" i="4"/>
  <c r="L7" i="8" s="1"/>
  <c r="V17" i="4"/>
  <c r="K7" i="8" s="1"/>
  <c r="U17" i="4"/>
  <c r="J7" i="8" s="1"/>
  <c r="T17" i="4"/>
  <c r="I7" i="8" s="1"/>
  <c r="S17" i="4"/>
  <c r="H7" i="8" s="1"/>
  <c r="R17" i="4"/>
  <c r="G7" i="8" s="1"/>
  <c r="Q17" i="4"/>
  <c r="F7" i="8" s="1"/>
  <c r="P17" i="4"/>
  <c r="O17" i="4"/>
  <c r="D7" i="8" s="1"/>
  <c r="AR16" i="4"/>
  <c r="AG6" i="8" s="1"/>
  <c r="AQ16" i="4"/>
  <c r="AF6" i="8" s="1"/>
  <c r="AP16" i="4"/>
  <c r="AO16" i="4"/>
  <c r="AD6" i="8" s="1"/>
  <c r="AN16" i="4"/>
  <c r="AC6" i="8" s="1"/>
  <c r="AM16" i="4"/>
  <c r="AB6" i="8" s="1"/>
  <c r="AL16" i="4"/>
  <c r="AA6" i="8" s="1"/>
  <c r="AK16" i="4"/>
  <c r="Z6" i="8" s="1"/>
  <c r="AJ16" i="4"/>
  <c r="Y6" i="8" s="1"/>
  <c r="AI16" i="4"/>
  <c r="X6" i="8" s="1"/>
  <c r="AH16" i="4"/>
  <c r="W6" i="8" s="1"/>
  <c r="AG16" i="4"/>
  <c r="V6" i="8" s="1"/>
  <c r="AF16" i="4"/>
  <c r="U6" i="8" s="1"/>
  <c r="AE16" i="4"/>
  <c r="T6" i="8" s="1"/>
  <c r="AD16" i="4"/>
  <c r="S6" i="8" s="1"/>
  <c r="AC16" i="4"/>
  <c r="R6" i="8" s="1"/>
  <c r="AB16" i="4"/>
  <c r="Q6" i="8" s="1"/>
  <c r="AA16" i="4"/>
  <c r="P6" i="8" s="1"/>
  <c r="Z16" i="4"/>
  <c r="O6" i="8" s="1"/>
  <c r="Y16" i="4"/>
  <c r="N6" i="8" s="1"/>
  <c r="X16" i="4"/>
  <c r="M6" i="8" s="1"/>
  <c r="W16" i="4"/>
  <c r="L6" i="8" s="1"/>
  <c r="V16" i="4"/>
  <c r="K6" i="8" s="1"/>
  <c r="U16" i="4"/>
  <c r="J6" i="8" s="1"/>
  <c r="T16" i="4"/>
  <c r="I6" i="8" s="1"/>
  <c r="S16" i="4"/>
  <c r="H6" i="8" s="1"/>
  <c r="R16" i="4"/>
  <c r="G6" i="8" s="1"/>
  <c r="Q16" i="4"/>
  <c r="F6" i="8" s="1"/>
  <c r="P16" i="4"/>
  <c r="E6" i="8" s="1"/>
  <c r="O16" i="4"/>
  <c r="D6" i="8" s="1"/>
  <c r="AR15" i="4"/>
  <c r="AG5" i="8" s="1"/>
  <c r="AQ15" i="4"/>
  <c r="AF5" i="8" s="1"/>
  <c r="AP15" i="4"/>
  <c r="AE5" i="8" s="1"/>
  <c r="AO15" i="4"/>
  <c r="AD5" i="8" s="1"/>
  <c r="AN15" i="4"/>
  <c r="AC5" i="8" s="1"/>
  <c r="AM15" i="4"/>
  <c r="AB5" i="8" s="1"/>
  <c r="AL15" i="4"/>
  <c r="AA5" i="8" s="1"/>
  <c r="AJ15" i="4"/>
  <c r="Y5" i="8" s="1"/>
  <c r="AI15" i="4"/>
  <c r="X5" i="8" s="1"/>
  <c r="AH15" i="4"/>
  <c r="W5" i="8" s="1"/>
  <c r="AG15" i="4"/>
  <c r="V5" i="8" s="1"/>
  <c r="AF15" i="4"/>
  <c r="U5" i="8" s="1"/>
  <c r="AE15" i="4"/>
  <c r="T5" i="8" s="1"/>
  <c r="AD15" i="4"/>
  <c r="S5" i="8" s="1"/>
  <c r="AC15" i="4"/>
  <c r="R5" i="8" s="1"/>
  <c r="AB15" i="4"/>
  <c r="Q5" i="8" s="1"/>
  <c r="AA15" i="4"/>
  <c r="P5" i="8" s="1"/>
  <c r="Z15" i="4"/>
  <c r="O5" i="8" s="1"/>
  <c r="Y15" i="4"/>
  <c r="N5" i="8" s="1"/>
  <c r="X15" i="4"/>
  <c r="M5" i="8" s="1"/>
  <c r="W15" i="4"/>
  <c r="L5" i="8" s="1"/>
  <c r="V15" i="4"/>
  <c r="K5" i="8" s="1"/>
  <c r="U15" i="4"/>
  <c r="J5" i="8" s="1"/>
  <c r="T15" i="4"/>
  <c r="S15" i="4"/>
  <c r="H5" i="8" s="1"/>
  <c r="R15" i="4"/>
  <c r="G5" i="8" s="1"/>
  <c r="Q15" i="4"/>
  <c r="F5" i="8" s="1"/>
  <c r="P15" i="4"/>
  <c r="E5" i="8" s="1"/>
  <c r="O15" i="4"/>
  <c r="D5" i="8" s="1"/>
  <c r="AR14" i="4"/>
  <c r="AG4" i="8" s="1"/>
  <c r="AQ14" i="4"/>
  <c r="AF4" i="8" s="1"/>
  <c r="AP14" i="4"/>
  <c r="AE4" i="8" s="1"/>
  <c r="AO14" i="4"/>
  <c r="AD4" i="8" s="1"/>
  <c r="AN14" i="4"/>
  <c r="AC4" i="8" s="1"/>
  <c r="AM14" i="4"/>
  <c r="AB4" i="8" s="1"/>
  <c r="AL14" i="4"/>
  <c r="AA4" i="8" s="1"/>
  <c r="AK14" i="4"/>
  <c r="Z4" i="8" s="1"/>
  <c r="AJ14" i="4"/>
  <c r="Y4" i="8" s="1"/>
  <c r="AI14" i="4"/>
  <c r="X4" i="8" s="1"/>
  <c r="AH14" i="4"/>
  <c r="W4" i="8" s="1"/>
  <c r="AG14" i="4"/>
  <c r="V4" i="8" s="1"/>
  <c r="AF14" i="4"/>
  <c r="U4" i="8" s="1"/>
  <c r="AE14" i="4"/>
  <c r="T4" i="8" s="1"/>
  <c r="AD14" i="4"/>
  <c r="S4" i="8" s="1"/>
  <c r="AC14" i="4"/>
  <c r="R4" i="8" s="1"/>
  <c r="AB14" i="4"/>
  <c r="Q4" i="8" s="1"/>
  <c r="AA14" i="4"/>
  <c r="P4" i="8" s="1"/>
  <c r="Z14" i="4"/>
  <c r="O4" i="8" s="1"/>
  <c r="Y14" i="4"/>
  <c r="N4" i="8" s="1"/>
  <c r="X14" i="4"/>
  <c r="M4" i="8" s="1"/>
  <c r="W14" i="4"/>
  <c r="L4" i="8" s="1"/>
  <c r="V14" i="4"/>
  <c r="U14" i="4"/>
  <c r="J4" i="8" s="1"/>
  <c r="T14" i="4"/>
  <c r="I4" i="8" s="1"/>
  <c r="S14" i="4"/>
  <c r="H4" i="8" s="1"/>
  <c r="R14" i="4"/>
  <c r="Q14" i="4"/>
  <c r="F4" i="8" s="1"/>
  <c r="P14" i="4"/>
  <c r="E4" i="8" s="1"/>
  <c r="O14" i="4"/>
  <c r="D4" i="8" s="1"/>
  <c r="R33" i="8"/>
  <c r="H28" i="8"/>
  <c r="F27" i="8"/>
  <c r="F23" i="8"/>
  <c r="D18" i="8"/>
  <c r="E17" i="8"/>
  <c r="E15" i="8"/>
  <c r="E7" i="8"/>
  <c r="AE6" i="8"/>
  <c r="I5" i="8"/>
  <c r="K4" i="8"/>
  <c r="G4" i="8"/>
  <c r="AK15" i="4" l="1"/>
  <c r="Z5" i="8" s="1"/>
  <c r="D6" i="6"/>
  <c r="D7" i="6" s="1"/>
  <c r="D8" i="6" s="1"/>
  <c r="D16" i="6"/>
  <c r="D15" i="6" s="1"/>
  <c r="D14" i="6" s="1"/>
  <c r="AJ9" i="7"/>
  <c r="AK9" i="7" s="1"/>
  <c r="AL9" i="7" s="1"/>
  <c r="AM9" i="7" s="1"/>
  <c r="AN9" i="7" s="1"/>
  <c r="AO9" i="7" s="1"/>
  <c r="AP9" i="7" s="1"/>
  <c r="AQ9" i="7" s="1"/>
  <c r="AR9" i="7" s="1"/>
  <c r="AI10" i="7"/>
  <c r="AI11" i="7" s="1"/>
  <c r="AI12" i="7" s="1"/>
  <c r="AI13" i="7" s="1"/>
  <c r="AI14" i="7" s="1"/>
  <c r="AI15" i="7" s="1"/>
  <c r="AI16" i="7" s="1"/>
  <c r="AI17" i="7" s="1"/>
  <c r="AI18" i="7" s="1"/>
  <c r="H2" i="6" l="1"/>
  <c r="H10" i="6"/>
  <c r="AJ10" i="7" l="1"/>
  <c r="AJ20" i="7" s="1"/>
  <c r="AN10" i="7"/>
  <c r="AN20" i="7" s="1"/>
  <c r="AR10" i="7"/>
  <c r="AR20" i="7" s="1"/>
  <c r="AM10" i="7"/>
  <c r="AM20" i="7" s="1"/>
  <c r="AK10" i="7"/>
  <c r="AK20" i="7" s="1"/>
  <c r="AO10" i="7"/>
  <c r="AO20" i="7" s="1"/>
  <c r="AL10" i="7"/>
  <c r="AL20" i="7" s="1"/>
  <c r="AP10" i="7"/>
  <c r="AP20" i="7" s="1"/>
  <c r="AQ10" i="7"/>
  <c r="AQ20" i="7" s="1"/>
  <c r="H14" i="6"/>
  <c r="I2" i="6"/>
  <c r="J2" i="6" s="1"/>
  <c r="K2" i="6" s="1"/>
  <c r="L2" i="6" s="1"/>
  <c r="M2" i="6" s="1"/>
  <c r="N2" i="6" s="1"/>
  <c r="O2" i="6" s="1"/>
  <c r="P2" i="6" s="1"/>
  <c r="AR11" i="7" l="1"/>
  <c r="AR21" i="7" s="1"/>
  <c r="AQ11" i="7"/>
  <c r="AQ21" i="7" s="1"/>
  <c r="AN11" i="7"/>
  <c r="AN21" i="7" s="1"/>
  <c r="AM11" i="7"/>
  <c r="AM21" i="7" s="1"/>
  <c r="AO11" i="7"/>
  <c r="AO21" i="7" s="1"/>
  <c r="AJ11" i="7"/>
  <c r="AJ21" i="7" s="1"/>
  <c r="AP11" i="7"/>
  <c r="AP21" i="7" s="1"/>
  <c r="AK11" i="7"/>
  <c r="AK21" i="7" s="1"/>
  <c r="AL11" i="7"/>
  <c r="AL21" i="7" s="1"/>
  <c r="N6" i="6"/>
  <c r="M6" i="6"/>
  <c r="J6" i="6"/>
  <c r="H6" i="6"/>
  <c r="I6" i="6"/>
  <c r="P6" i="6"/>
  <c r="L6" i="6"/>
  <c r="O6" i="6"/>
  <c r="K6" i="6"/>
  <c r="H15" i="6"/>
  <c r="S26" i="6"/>
  <c r="AN12" i="7" l="1"/>
  <c r="AN22" i="7" s="1"/>
  <c r="AO12" i="7"/>
  <c r="AO22" i="7" s="1"/>
  <c r="AJ12" i="7"/>
  <c r="AJ22" i="7" s="1"/>
  <c r="AK12" i="7"/>
  <c r="AK22" i="7" s="1"/>
  <c r="AQ12" i="7"/>
  <c r="AQ22" i="7" s="1"/>
  <c r="AP12" i="7"/>
  <c r="AP22" i="7" s="1"/>
  <c r="AR12" i="7"/>
  <c r="AR22" i="7" s="1"/>
  <c r="AM12" i="7"/>
  <c r="AM22" i="7" s="1"/>
  <c r="AL12" i="7"/>
  <c r="AL22" i="7" s="1"/>
  <c r="H16" i="6"/>
  <c r="X18" i="6"/>
  <c r="AG22" i="6"/>
  <c r="AH21" i="6"/>
  <c r="AI20" i="6"/>
  <c r="AJ19" i="6"/>
  <c r="AK18" i="6"/>
  <c r="AL17" i="6"/>
  <c r="AM16" i="6"/>
  <c r="AN15" i="6"/>
  <c r="AO15" i="6"/>
  <c r="AN16" i="6"/>
  <c r="AM17" i="6"/>
  <c r="AL18" i="6"/>
  <c r="AK19" i="6"/>
  <c r="AJ20" i="6"/>
  <c r="AI21" i="6"/>
  <c r="AH22" i="6"/>
  <c r="AG23" i="6"/>
  <c r="AF23" i="6"/>
  <c r="AC23" i="6"/>
  <c r="AB22" i="6"/>
  <c r="AA21" i="6"/>
  <c r="Z20" i="6"/>
  <c r="Y19" i="6"/>
  <c r="U15" i="6"/>
  <c r="V16" i="6"/>
  <c r="S27" i="6"/>
  <c r="S28" i="6" s="1"/>
  <c r="S29" i="6" s="1"/>
  <c r="S30" i="6" s="1"/>
  <c r="S31" i="6" s="1"/>
  <c r="S32" i="6" s="1"/>
  <c r="S33" i="6" s="1"/>
  <c r="S34" i="6" s="1"/>
  <c r="AR13" i="7" l="1"/>
  <c r="AR23" i="7" s="1"/>
  <c r="AP13" i="7"/>
  <c r="AP23" i="7" s="1"/>
  <c r="AO13" i="7"/>
  <c r="AO23" i="7" s="1"/>
  <c r="AQ13" i="7"/>
  <c r="AQ23" i="7" s="1"/>
  <c r="AL13" i="7"/>
  <c r="AL23" i="7" s="1"/>
  <c r="AK13" i="7"/>
  <c r="AK23" i="7" s="1"/>
  <c r="AM13" i="7"/>
  <c r="AM23" i="7" s="1"/>
  <c r="AN13" i="7"/>
  <c r="AN23" i="7" s="1"/>
  <c r="AJ13" i="7"/>
  <c r="AJ23" i="7" s="1"/>
  <c r="W17" i="6"/>
  <c r="X17" i="6" s="1"/>
  <c r="I10" i="6"/>
  <c r="AQ14" i="7" l="1"/>
  <c r="AQ24" i="7" s="1"/>
  <c r="AM14" i="7"/>
  <c r="AM24" i="7" s="1"/>
  <c r="AN14" i="7"/>
  <c r="AN24" i="7" s="1"/>
  <c r="AK14" i="7"/>
  <c r="AK24" i="7" s="1"/>
  <c r="AJ14" i="7"/>
  <c r="AJ24" i="7" s="1"/>
  <c r="AP14" i="7"/>
  <c r="AP24" i="7" s="1"/>
  <c r="AR14" i="7"/>
  <c r="AR24" i="7" s="1"/>
  <c r="AL14" i="7"/>
  <c r="AL24" i="7" s="1"/>
  <c r="AO14" i="7"/>
  <c r="AO24" i="7" s="1"/>
  <c r="I15" i="6"/>
  <c r="I16" i="6"/>
  <c r="I14" i="6"/>
  <c r="J10" i="6"/>
  <c r="S6" i="6"/>
  <c r="S7" i="6" s="1"/>
  <c r="S8" i="6" s="1"/>
  <c r="S9" i="6" s="1"/>
  <c r="S10" i="6" s="1"/>
  <c r="S11" i="6" s="1"/>
  <c r="S12" i="6" s="1"/>
  <c r="S13" i="6" s="1"/>
  <c r="S14" i="6" s="1"/>
  <c r="X13" i="5"/>
  <c r="X14" i="5" s="1"/>
  <c r="W14" i="5" s="1"/>
  <c r="Z15" i="5"/>
  <c r="AA15" i="5" s="1"/>
  <c r="X15" i="5"/>
  <c r="S15" i="5"/>
  <c r="R15" i="5" s="1"/>
  <c r="U14" i="5"/>
  <c r="U13" i="5"/>
  <c r="T13" i="5"/>
  <c r="T12" i="5"/>
  <c r="S12" i="5"/>
  <c r="AK15" i="7" l="1"/>
  <c r="AK25" i="7" s="1"/>
  <c r="AR15" i="7"/>
  <c r="AR25" i="7" s="1"/>
  <c r="AJ15" i="7"/>
  <c r="AJ25" i="7" s="1"/>
  <c r="AO15" i="7"/>
  <c r="AO25" i="7" s="1"/>
  <c r="AP15" i="7"/>
  <c r="AP25" i="7" s="1"/>
  <c r="AQ15" i="7"/>
  <c r="AQ25" i="7" s="1"/>
  <c r="AM15" i="7"/>
  <c r="AM25" i="7" s="1"/>
  <c r="AN15" i="7"/>
  <c r="AN25" i="7" s="1"/>
  <c r="AL15" i="7"/>
  <c r="AL25" i="7" s="1"/>
  <c r="J15" i="6"/>
  <c r="J16" i="6"/>
  <c r="J14" i="6"/>
  <c r="K10" i="6"/>
  <c r="V15" i="6"/>
  <c r="AN16" i="7" l="1"/>
  <c r="AN26" i="7" s="1"/>
  <c r="AL16" i="7"/>
  <c r="AL26" i="7" s="1"/>
  <c r="AJ16" i="7"/>
  <c r="AJ26" i="7" s="1"/>
  <c r="AO16" i="7"/>
  <c r="AO26" i="7" s="1"/>
  <c r="AK16" i="7"/>
  <c r="AK26" i="7" s="1"/>
  <c r="AM16" i="7"/>
  <c r="AM26" i="7" s="1"/>
  <c r="AP16" i="7"/>
  <c r="AP26" i="7" s="1"/>
  <c r="AR16" i="7"/>
  <c r="AR26" i="7" s="1"/>
  <c r="AQ16" i="7"/>
  <c r="AQ26" i="7" s="1"/>
  <c r="K16" i="6"/>
  <c r="K14" i="6"/>
  <c r="K15" i="6"/>
  <c r="L10" i="6"/>
  <c r="O7" i="6"/>
  <c r="J7" i="6"/>
  <c r="K7" i="6"/>
  <c r="N7" i="6"/>
  <c r="H7" i="6"/>
  <c r="M7" i="6"/>
  <c r="I7" i="6"/>
  <c r="P7" i="6"/>
  <c r="L7" i="6"/>
  <c r="U6" i="6"/>
  <c r="V6" i="6" s="1"/>
  <c r="W16" i="6"/>
  <c r="AM17" i="7" l="1"/>
  <c r="AM27" i="7" s="1"/>
  <c r="AP17" i="7"/>
  <c r="AP27" i="7" s="1"/>
  <c r="AK17" i="7"/>
  <c r="AK27" i="7" s="1"/>
  <c r="AR17" i="7"/>
  <c r="AR27" i="7" s="1"/>
  <c r="AJ17" i="7"/>
  <c r="AJ27" i="7" s="1"/>
  <c r="AQ17" i="7"/>
  <c r="AQ27" i="7" s="1"/>
  <c r="AL17" i="7"/>
  <c r="AL27" i="7" s="1"/>
  <c r="AN17" i="7"/>
  <c r="AN27" i="7" s="1"/>
  <c r="AO17" i="7"/>
  <c r="AO27" i="7" s="1"/>
  <c r="L15" i="6"/>
  <c r="L16" i="6"/>
  <c r="L14" i="6"/>
  <c r="M10" i="6"/>
  <c r="N8" i="6"/>
  <c r="I8" i="6"/>
  <c r="AN7" i="6" s="1"/>
  <c r="V27" i="6" s="1"/>
  <c r="J8" i="6"/>
  <c r="AM8" i="6" s="1"/>
  <c r="AG28" i="6" s="1"/>
  <c r="M8" i="6"/>
  <c r="H8" i="6"/>
  <c r="AO6" i="6" s="1"/>
  <c r="O8" i="6"/>
  <c r="P8" i="6"/>
  <c r="K8" i="6"/>
  <c r="L8" i="6"/>
  <c r="W8" i="6"/>
  <c r="X8" i="6" s="1"/>
  <c r="V7" i="6"/>
  <c r="W7" i="6" s="1"/>
  <c r="Y18" i="6"/>
  <c r="AR18" i="7" l="1"/>
  <c r="AR28" i="7" s="1"/>
  <c r="AN18" i="7"/>
  <c r="AN28" i="7" s="1"/>
  <c r="AK18" i="7"/>
  <c r="AK28" i="7" s="1"/>
  <c r="AJ18" i="7"/>
  <c r="AJ28" i="7" s="1"/>
  <c r="AO18" i="7"/>
  <c r="AO28" i="7" s="1"/>
  <c r="AQ18" i="7"/>
  <c r="AQ28" i="7" s="1"/>
  <c r="AP18" i="7"/>
  <c r="AP28" i="7" s="1"/>
  <c r="AL18" i="7"/>
  <c r="AL28" i="7" s="1"/>
  <c r="AM18" i="7"/>
  <c r="AM28" i="7" s="1"/>
  <c r="M15" i="6"/>
  <c r="M16" i="6"/>
  <c r="M14" i="6"/>
  <c r="N10" i="6"/>
  <c r="AD28" i="6"/>
  <c r="AA28" i="6"/>
  <c r="AC28" i="6"/>
  <c r="X28" i="6"/>
  <c r="AJ28" i="6"/>
  <c r="AM28" i="6"/>
  <c r="W28" i="6"/>
  <c r="Z28" i="6"/>
  <c r="Y28" i="6"/>
  <c r="AD27" i="6"/>
  <c r="AA27" i="6"/>
  <c r="X27" i="6"/>
  <c r="Y27" i="6"/>
  <c r="AH27" i="6"/>
  <c r="AE27" i="6"/>
  <c r="AB27" i="6"/>
  <c r="AC27" i="6"/>
  <c r="AL27" i="6"/>
  <c r="AI27" i="6"/>
  <c r="AF27" i="6"/>
  <c r="AG27" i="6"/>
  <c r="Z27" i="6"/>
  <c r="W27" i="6"/>
  <c r="AM27" i="6"/>
  <c r="AJ27" i="6"/>
  <c r="AK27" i="6"/>
  <c r="AF28" i="6"/>
  <c r="AI28" i="6"/>
  <c r="AL28" i="6"/>
  <c r="AK28" i="6"/>
  <c r="AB28" i="6"/>
  <c r="AE28" i="6"/>
  <c r="AH28" i="6"/>
  <c r="AN27" i="6"/>
  <c r="AL9" i="6"/>
  <c r="AK9" i="6" s="1"/>
  <c r="X9" i="6"/>
  <c r="Y9" i="6" s="1"/>
  <c r="AK10" i="6"/>
  <c r="AN6" i="6"/>
  <c r="AM7" i="6"/>
  <c r="AL8" i="6"/>
  <c r="Z19" i="6"/>
  <c r="N15" i="6" l="1"/>
  <c r="N16" i="6"/>
  <c r="N14" i="6"/>
  <c r="O10" i="6"/>
  <c r="U26" i="6"/>
  <c r="AO26" i="6"/>
  <c r="Y26" i="6"/>
  <c r="AC26" i="6"/>
  <c r="AG26" i="6"/>
  <c r="AP26" i="6" s="1"/>
  <c r="AK26" i="6"/>
  <c r="V26" i="6"/>
  <c r="Z26" i="6"/>
  <c r="AD26" i="6"/>
  <c r="AH26" i="6"/>
  <c r="AL26" i="6"/>
  <c r="W26" i="6"/>
  <c r="W24" i="6" s="1"/>
  <c r="AA26" i="6"/>
  <c r="AE26" i="6"/>
  <c r="AI26" i="6"/>
  <c r="AM26" i="6"/>
  <c r="X26" i="6"/>
  <c r="AB26" i="6"/>
  <c r="AF26" i="6"/>
  <c r="AJ26" i="6"/>
  <c r="AN26" i="6"/>
  <c r="AI29" i="6"/>
  <c r="AF29" i="6"/>
  <c r="AE29" i="6"/>
  <c r="Y29" i="6"/>
  <c r="Z29" i="6"/>
  <c r="AG29" i="6"/>
  <c r="AP29" i="6" s="1"/>
  <c r="AB29" i="6"/>
  <c r="AA29" i="6"/>
  <c r="AC29" i="6"/>
  <c r="X29" i="6"/>
  <c r="AD29" i="6"/>
  <c r="Y30" i="6"/>
  <c r="AC30" i="6"/>
  <c r="AG30" i="6"/>
  <c r="AP30" i="6" s="1"/>
  <c r="AK30" i="6"/>
  <c r="Z30" i="6"/>
  <c r="AD30" i="6"/>
  <c r="AH30" i="6"/>
  <c r="AA30" i="6"/>
  <c r="AE30" i="6"/>
  <c r="AI30" i="6"/>
  <c r="AB30" i="6"/>
  <c r="AF30" i="6"/>
  <c r="AJ30" i="6"/>
  <c r="AK29" i="6"/>
  <c r="AJ29" i="6"/>
  <c r="AL29" i="6"/>
  <c r="AH29" i="6"/>
  <c r="AP28" i="6"/>
  <c r="AP27" i="6"/>
  <c r="AJ10" i="6"/>
  <c r="Y10" i="6"/>
  <c r="Z10" i="6" s="1"/>
  <c r="AA20" i="6"/>
  <c r="O16" i="6" l="1"/>
  <c r="O14" i="6"/>
  <c r="O15" i="6"/>
  <c r="P10" i="6"/>
  <c r="AJ11" i="6"/>
  <c r="Z31" i="6" s="1"/>
  <c r="Z11" i="6"/>
  <c r="AA11" i="6" s="1"/>
  <c r="AB21" i="6"/>
  <c r="P15" i="6" l="1"/>
  <c r="P16" i="6"/>
  <c r="P14" i="6"/>
  <c r="AH31" i="6"/>
  <c r="AC31" i="6"/>
  <c r="AI31" i="6"/>
  <c r="AJ31" i="6"/>
  <c r="AB31" i="6"/>
  <c r="AI11" i="6"/>
  <c r="AG31" i="6"/>
  <c r="AP31" i="6" s="1"/>
  <c r="AE31" i="6"/>
  <c r="AF31" i="6"/>
  <c r="AA31" i="6"/>
  <c r="AD31" i="6"/>
  <c r="AI12" i="6"/>
  <c r="AD32" i="6" s="1"/>
  <c r="AA12" i="6"/>
  <c r="AB12" i="6" s="1"/>
  <c r="AH13" i="6"/>
  <c r="AC22" i="6"/>
  <c r="AC32" i="6" l="1"/>
  <c r="AE32" i="6"/>
  <c r="AB32" i="6"/>
  <c r="AA32" i="6"/>
  <c r="AG32" i="6"/>
  <c r="AP32" i="6" s="1"/>
  <c r="AF32" i="6"/>
  <c r="AH32" i="6"/>
  <c r="AH12" i="6"/>
  <c r="AI32" i="6"/>
  <c r="AD33" i="6"/>
  <c r="AE33" i="6"/>
  <c r="AH33" i="6"/>
  <c r="AB33" i="6"/>
  <c r="AF33" i="6"/>
  <c r="AG33" i="6"/>
  <c r="AC33" i="6"/>
  <c r="AB13" i="6"/>
  <c r="AC13" i="6" s="1"/>
  <c r="AG13" i="6"/>
  <c r="AD23" i="6"/>
  <c r="AE23" i="6" s="1"/>
  <c r="AG14" i="6" l="1"/>
  <c r="AF14" i="6" s="1"/>
  <c r="AC14" i="6"/>
  <c r="AD14" i="6" s="1"/>
  <c r="AP33" i="6"/>
  <c r="AD34" i="6" l="1"/>
  <c r="AG34" i="6"/>
  <c r="AP34" i="6" s="1"/>
  <c r="AR25" i="6" s="1"/>
  <c r="AF34" i="6"/>
  <c r="AC34" i="6"/>
  <c r="AE34" i="6"/>
  <c r="AD24" i="6" l="1"/>
  <c r="AG24" i="6"/>
  <c r="AC24" i="6"/>
  <c r="AF24" i="6"/>
  <c r="AB24" i="6"/>
  <c r="AE24" i="6"/>
  <c r="AI24" i="6"/>
  <c r="AA24" i="6"/>
  <c r="AH24" i="6"/>
</calcChain>
</file>

<file path=xl/sharedStrings.xml><?xml version="1.0" encoding="utf-8"?>
<sst xmlns="http://schemas.openxmlformats.org/spreadsheetml/2006/main" count="36" uniqueCount="31">
  <si>
    <t>Location</t>
  </si>
  <si>
    <t>LEFT</t>
  </si>
  <si>
    <t>RIGHT</t>
  </si>
  <si>
    <t>Wall</t>
  </si>
  <si>
    <t>Direction</t>
  </si>
  <si>
    <t>Left</t>
  </si>
  <si>
    <t>Top</t>
  </si>
  <si>
    <t>Wall No</t>
  </si>
  <si>
    <t>Factor</t>
  </si>
  <si>
    <t>Floor</t>
  </si>
  <si>
    <t>Horizon</t>
  </si>
  <si>
    <t>appearing?</t>
  </si>
  <si>
    <t>3_L_HL</t>
  </si>
  <si>
    <t>4_L_HL</t>
  </si>
  <si>
    <t>5_L_HL</t>
  </si>
  <si>
    <t>6_L_HL</t>
  </si>
  <si>
    <t>7_L_HL</t>
  </si>
  <si>
    <t>8_L_HL</t>
  </si>
  <si>
    <t>9_L_HL</t>
  </si>
  <si>
    <t>1_L_HL</t>
  </si>
  <si>
    <t>2_L_HL</t>
  </si>
  <si>
    <t>South</t>
  </si>
  <si>
    <t>north/south</t>
  </si>
  <si>
    <t>east/est</t>
  </si>
  <si>
    <t>Facing</t>
  </si>
  <si>
    <t>East</t>
  </si>
  <si>
    <t>North</t>
  </si>
  <si>
    <t>West</t>
  </si>
  <si>
    <t>MAP</t>
  </si>
  <si>
    <t>Key</t>
  </si>
  <si>
    <t>×ØÙÚ</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</si>
</sst>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1]&quot;--&quot;;[=0]&quot; &quot;;&quot; &quot;"/>
    <numFmt numFmtId="165" formatCode="&quot;&quot;"/>
  </numFmts>
  <fonts count="13"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14"/>
      <name val="Calibri"/>
      <family val="2"/>
      <scheme val="minor"/>
    </font>
    <font>
      <sz val="11"/>
      <color theme="0"/>
      <name val="Calibri"/>
      <family val="2"/>
      <scheme val="minor"/>
    </font>
    <font>
      <b/>
      <sz val="9"/>
      <color theme="1"/>
      <name val="Segoe UI Semibold"/>
      <family val="2"/>
    </font>
    <font>
      <sz val="11"/>
      <color theme="1"/>
      <name val="Webdings"/>
      <family val="1"/>
      <charset val="2"/>
    </font>
    <font>
      <sz val="8"/>
      <color theme="1"/>
      <name val="Webdings"/>
      <family val="1"/>
      <charset val="2"/>
    </font>
    <font>
      <sz val="11"/>
      <color theme="1"/>
      <name val="Wingdings"/>
      <charset val="2"/>
    </font>
    <font>
      <b/>
      <sz val="11"/>
      <color theme="1"/>
      <name val="Wingdings"/>
      <charset val="2"/>
    </font>
    <font>
      <sz val="10"/>
      <color theme="1"/>
      <name val="Wingdings"/>
      <charset val="2"/>
    </font>
    <font>
      <b/>
      <sz val="8"/>
      <color rgb="FFFF0000"/>
      <name val="Wingdings"/>
      <charset val="2"/>
    </font>
  </fonts>
  <fills count="3">
    <fill>
      <patternFill patternType="none"/>
    </fill>
    <fill>
      <patternFill patternType="gray125"/>
    </fill>
    <fill>
      <patternFill patternType="solid">
        <fgColor theme="0"/>
        <bgColor indexed="64"/>
      </patternFill>
    </fill>
  </fills>
  <borders count="3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249977111117893"/>
      </right>
      <top style="thin">
        <color theme="0" tint="-0.499984740745262"/>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top style="thin">
        <color theme="0" tint="-0.499984740745262"/>
      </top>
      <bottom/>
      <diagonal/>
    </border>
    <border>
      <left style="thin">
        <color theme="0" tint="-0.499984740745262"/>
      </left>
      <right style="thin">
        <color theme="0" tint="-0.249977111117893"/>
      </right>
      <top style="thin">
        <color theme="0" tint="-0.499984740745262"/>
      </top>
      <bottom/>
      <diagonal/>
    </border>
    <border>
      <left style="thin">
        <color theme="0" tint="-0.499984740745262"/>
      </left>
      <right style="thin">
        <color theme="0" tint="-0.249977111117893"/>
      </right>
      <top/>
      <bottom/>
      <diagonal/>
    </border>
    <border>
      <left style="thin">
        <color theme="0" tint="-0.499984740745262"/>
      </left>
      <right style="thin">
        <color theme="0" tint="-0.249977111117893"/>
      </right>
      <top/>
      <bottom style="thin">
        <color theme="0" tint="-0.499984740745262"/>
      </bottom>
      <diagonal/>
    </border>
    <border>
      <left style="thin">
        <color theme="0" tint="-0.249977111117893"/>
      </left>
      <right/>
      <top style="thin">
        <color theme="0" tint="-0.499984740745262"/>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s>
  <cellStyleXfs count="1">
    <xf numFmtId="0" fontId="0" fillId="0" borderId="0"/>
  </cellStyleXfs>
  <cellXfs count="83">
    <xf numFmtId="0" fontId="0" fillId="0" borderId="0" xfId="0"/>
    <xf numFmtId="0" fontId="0" fillId="0" borderId="0" xfId="0" applyAlignment="1">
      <alignment horizontal="center"/>
    </xf>
    <xf numFmtId="0" fontId="0" fillId="2" borderId="0" xfId="0" applyFill="1"/>
    <xf numFmtId="0" fontId="0" fillId="2" borderId="0" xfId="0" applyFill="1" applyBorder="1"/>
    <xf numFmtId="0" fontId="0" fillId="0" borderId="0" xfId="0" applyBorder="1"/>
    <xf numFmtId="0" fontId="1" fillId="2" borderId="0" xfId="0" applyFont="1" applyFill="1" applyAlignment="1">
      <alignment vertical="center"/>
    </xf>
    <xf numFmtId="0" fontId="3" fillId="2" borderId="1" xfId="0" applyFont="1" applyFill="1" applyBorder="1" applyAlignment="1"/>
    <xf numFmtId="0" fontId="2" fillId="0" borderId="13" xfId="0" applyFont="1" applyBorder="1" applyAlignment="1">
      <alignment horizontal="right"/>
    </xf>
    <xf numFmtId="0" fontId="2" fillId="0" borderId="14" xfId="0" applyFont="1" applyBorder="1" applyAlignment="1">
      <alignment horizontal="right"/>
    </xf>
    <xf numFmtId="0" fontId="2" fillId="0" borderId="15" xfId="0" applyFont="1" applyBorder="1" applyAlignment="1">
      <alignment horizontal="right"/>
    </xf>
    <xf numFmtId="0" fontId="2" fillId="0" borderId="8" xfId="0" applyFont="1" applyBorder="1" applyAlignment="1">
      <alignment horizontal="center"/>
    </xf>
    <xf numFmtId="0" fontId="2" fillId="0" borderId="0" xfId="0" applyFont="1" applyBorder="1" applyAlignment="1">
      <alignment horizontal="center"/>
    </xf>
    <xf numFmtId="0" fontId="2" fillId="0" borderId="7" xfId="0" applyFont="1" applyBorder="1" applyAlignment="1">
      <alignment horizontal="center"/>
    </xf>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2" borderId="0" xfId="0" applyFill="1" applyAlignment="1">
      <alignment horizontal="center"/>
    </xf>
    <xf numFmtId="0" fontId="0" fillId="0" borderId="0" xfId="0" applyAlignment="1"/>
    <xf numFmtId="0" fontId="0" fillId="0" borderId="0" xfId="0" applyAlignment="1">
      <alignment vertical="center"/>
    </xf>
    <xf numFmtId="0" fontId="0" fillId="0" borderId="0" xfId="0" applyNumberFormat="1"/>
    <xf numFmtId="0" fontId="0" fillId="0" borderId="0" xfId="0" applyFill="1" applyBorder="1"/>
    <xf numFmtId="0" fontId="1" fillId="0" borderId="0" xfId="0" applyFont="1" applyAlignment="1"/>
    <xf numFmtId="0" fontId="1" fillId="0" borderId="0" xfId="0" applyFont="1"/>
    <xf numFmtId="0" fontId="0" fillId="0" borderId="5" xfId="0" applyBorder="1"/>
    <xf numFmtId="0" fontId="0" fillId="0" borderId="8" xfId="0" applyBorder="1"/>
    <xf numFmtId="0" fontId="0" fillId="0" borderId="7" xfId="0" applyBorder="1"/>
    <xf numFmtId="0" fontId="0" fillId="0" borderId="24" xfId="0" applyBorder="1"/>
    <xf numFmtId="0" fontId="0" fillId="0" borderId="25" xfId="0" applyBorder="1"/>
    <xf numFmtId="0" fontId="0" fillId="0" borderId="26" xfId="0" applyBorder="1"/>
    <xf numFmtId="0" fontId="0" fillId="0" borderId="0" xfId="0" applyNumberFormat="1" applyBorder="1"/>
    <xf numFmtId="0" fontId="2" fillId="0" borderId="27" xfId="0" applyFont="1" applyFill="1" applyBorder="1" applyAlignment="1">
      <alignment horizontal="right"/>
    </xf>
    <xf numFmtId="0" fontId="0" fillId="0" borderId="28" xfId="0" applyBorder="1"/>
    <xf numFmtId="0" fontId="0" fillId="0" borderId="28" xfId="0" applyBorder="1" applyAlignment="1"/>
    <xf numFmtId="0" fontId="2" fillId="0" borderId="30" xfId="0" applyFont="1" applyFill="1" applyBorder="1" applyAlignment="1">
      <alignment horizontal="right"/>
    </xf>
    <xf numFmtId="0" fontId="0" fillId="0" borderId="31" xfId="0" applyBorder="1"/>
    <xf numFmtId="0" fontId="0" fillId="0" borderId="31" xfId="0" applyBorder="1" applyAlignment="1"/>
    <xf numFmtId="0" fontId="0" fillId="0" borderId="32" xfId="0" applyBorder="1" applyAlignment="1"/>
    <xf numFmtId="0" fontId="1" fillId="0" borderId="5" xfId="0" applyFont="1" applyBorder="1" applyAlignment="1">
      <alignment horizontal="center" vertical="center"/>
    </xf>
    <xf numFmtId="0" fontId="2" fillId="0" borderId="27" xfId="0" applyFont="1" applyFill="1" applyBorder="1" applyAlignment="1">
      <alignment horizontal="center"/>
    </xf>
    <xf numFmtId="0" fontId="0" fillId="0" borderId="28" xfId="0" applyBorder="1" applyAlignment="1">
      <alignment horizontal="center"/>
    </xf>
    <xf numFmtId="0" fontId="0" fillId="0" borderId="8" xfId="0" applyBorder="1" applyAlignment="1"/>
    <xf numFmtId="0" fontId="0" fillId="0" borderId="0" xfId="0" applyFont="1" applyAlignment="1"/>
    <xf numFmtId="0" fontId="2" fillId="0" borderId="9" xfId="0" applyFont="1" applyFill="1" applyBorder="1" applyAlignment="1">
      <alignment horizontal="right"/>
    </xf>
    <xf numFmtId="0" fontId="0" fillId="0" borderId="24" xfId="0" applyBorder="1" applyAlignment="1"/>
    <xf numFmtId="164" fontId="1" fillId="0" borderId="16" xfId="0" applyNumberFormat="1" applyFont="1" applyFill="1" applyBorder="1" applyAlignment="1">
      <alignment horizontal="center"/>
    </xf>
    <xf numFmtId="0" fontId="4" fillId="2" borderId="0" xfId="0" applyFont="1" applyFill="1"/>
    <xf numFmtId="0" fontId="0" fillId="0" borderId="9" xfId="0" applyBorder="1" applyAlignment="1"/>
    <xf numFmtId="165" fontId="2" fillId="0" borderId="0" xfId="0" applyNumberFormat="1" applyFont="1" applyFill="1" applyBorder="1" applyAlignment="1">
      <alignment horizontal="center"/>
    </xf>
    <xf numFmtId="0" fontId="5" fillId="2" borderId="0" xfId="0" applyFont="1" applyFill="1" applyBorder="1"/>
    <xf numFmtId="0" fontId="5" fillId="2" borderId="0" xfId="0" applyFont="1" applyFill="1" applyBorder="1" applyAlignment="1"/>
    <xf numFmtId="0" fontId="1" fillId="2" borderId="0" xfId="0" applyFont="1" applyFill="1"/>
    <xf numFmtId="0" fontId="0" fillId="2" borderId="0" xfId="0" applyFill="1" applyBorder="1" applyAlignment="1">
      <alignment horizontal="center"/>
    </xf>
    <xf numFmtId="0" fontId="6" fillId="2" borderId="0" xfId="0" applyFont="1" applyFill="1"/>
    <xf numFmtId="0" fontId="7" fillId="0" borderId="0" xfId="0" applyFont="1"/>
    <xf numFmtId="0" fontId="7" fillId="2" borderId="0" xfId="0" applyFont="1" applyFill="1"/>
    <xf numFmtId="0" fontId="8" fillId="2" borderId="0" xfId="0" applyFont="1" applyFill="1"/>
    <xf numFmtId="165" fontId="0" fillId="0" borderId="0" xfId="0" applyNumberFormat="1"/>
    <xf numFmtId="0" fontId="9" fillId="0" borderId="0" xfId="0" applyFont="1"/>
    <xf numFmtId="0" fontId="10" fillId="0" borderId="0" xfId="0" applyFont="1" applyAlignment="1"/>
    <xf numFmtId="0" fontId="11" fillId="0" borderId="16" xfId="0" applyFont="1" applyBorder="1" applyAlignment="1">
      <alignment vertical="center"/>
    </xf>
    <xf numFmtId="165" fontId="12" fillId="2" borderId="0" xfId="0" applyNumberFormat="1" applyFont="1" applyFill="1" applyBorder="1" applyAlignment="1">
      <alignment horizontal="center" vertical="center"/>
    </xf>
    <xf numFmtId="0" fontId="1" fillId="2" borderId="0" xfId="0" applyFont="1" applyFill="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0" xfId="0" applyAlignment="1">
      <alignment horizontal="center"/>
    </xf>
    <xf numFmtId="0" fontId="0" fillId="0" borderId="9"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9" xfId="0" applyFont="1" applyBorder="1" applyAlignment="1">
      <alignment horizontal="center" vertical="center"/>
    </xf>
    <xf numFmtId="0" fontId="1" fillId="0" borderId="5" xfId="0" applyFont="1" applyBorder="1" applyAlignment="1">
      <alignment horizontal="center" vertical="center"/>
    </xf>
    <xf numFmtId="0" fontId="0" fillId="0" borderId="0" xfId="0" applyAlignment="1">
      <alignment horizontal="center" vertical="center"/>
    </xf>
  </cellXfs>
  <cellStyles count="1">
    <cellStyle name="Normal" xfId="0" builtinId="0"/>
  </cellStyles>
  <dxfs count="34">
    <dxf>
      <fill>
        <patternFill>
          <bgColor theme="1"/>
        </patternFill>
      </fill>
    </dxf>
    <dxf>
      <font>
        <color theme="0"/>
      </font>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0"/>
        </patternFill>
      </fill>
    </dxf>
  </dxfs>
  <tableStyles count="0" defaultTableStyle="TableStyleMedium2" defaultPivotStyle="PivotStyleLight16"/>
  <colors>
    <mruColors>
      <color rgb="FFFF0000"/>
      <color rgb="FF000000"/>
      <color rgb="FFD9D9D9"/>
      <color rgb="FF3B3838"/>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areaChart>
        <c:grouping val="standard"/>
        <c:varyColors val="0"/>
        <c:ser>
          <c:idx val="5"/>
          <c:order val="0"/>
          <c:tx>
            <c:v>Horizon</c:v>
          </c:tx>
          <c:spPr>
            <a:gradFill flip="none" rotWithShape="1">
              <a:gsLst>
                <a:gs pos="0">
                  <a:schemeClr val="accent1">
                    <a:lumMod val="75000"/>
                  </a:schemeClr>
                </a:gs>
                <a:gs pos="50000">
                  <a:schemeClr val="bg1">
                    <a:shade val="67500"/>
                    <a:satMod val="115000"/>
                  </a:schemeClr>
                </a:gs>
                <a:gs pos="100000">
                  <a:schemeClr val="bg1">
                    <a:shade val="100000"/>
                    <a:satMod val="115000"/>
                  </a:schemeClr>
                </a:gs>
              </a:gsLst>
              <a:lin ang="5400000" scaled="1"/>
              <a:tileRect/>
            </a:gradFill>
            <a:ln w="3175">
              <a:solidFill>
                <a:schemeClr val="bg1">
                  <a:lumMod val="75000"/>
                </a:schemeClr>
              </a:solidFill>
            </a:ln>
            <a:effectLst/>
          </c:spPr>
          <c:val>
            <c:numRef>
              <c:f>Calc!$U$25:$AO$25</c:f>
              <c:numCache>
                <c:formatCode>General</c:formatCode>
                <c:ptCount val="21"/>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numCache>
            </c:numRef>
          </c:val>
        </c:ser>
        <c:ser>
          <c:idx val="30"/>
          <c:order val="1"/>
          <c:tx>
            <c:v>1_L_HL</c:v>
          </c:tx>
          <c:spPr>
            <a:solidFill>
              <a:schemeClr val="bg1"/>
            </a:solidFill>
            <a:ln>
              <a:solidFill>
                <a:schemeClr val="bg1">
                  <a:lumMod val="50000"/>
                </a:schemeClr>
              </a:solidFill>
            </a:ln>
            <a:effectLst/>
          </c:spPr>
          <c:val>
            <c:numRef>
              <c:f>Calc!$U$15:$AO$15</c:f>
              <c:numCache>
                <c:formatCode>General</c:formatCode>
                <c:ptCount val="21"/>
                <c:pt idx="0">
                  <c:v>9.5</c:v>
                </c:pt>
                <c:pt idx="1">
                  <c:v>9.5</c:v>
                </c:pt>
                <c:pt idx="19">
                  <c:v>9.5</c:v>
                </c:pt>
                <c:pt idx="20">
                  <c:v>9.5</c:v>
                </c:pt>
              </c:numCache>
            </c:numRef>
          </c:val>
        </c:ser>
        <c:ser>
          <c:idx val="0"/>
          <c:order val="2"/>
          <c:tx>
            <c:v>1_L_FG</c:v>
          </c:tx>
          <c:spPr>
            <a:solidFill>
              <a:schemeClr val="bg1">
                <a:lumMod val="85000"/>
              </a:schemeClr>
            </a:solidFill>
            <a:ln w="3175">
              <a:solidFill>
                <a:schemeClr val="bg1">
                  <a:lumMod val="50000"/>
                </a:schemeClr>
              </a:solidFill>
            </a:ln>
            <a:effectLst/>
          </c:spPr>
          <c:val>
            <c:numRef>
              <c:f>Calc!$U$6:$AO$6</c:f>
              <c:numCache>
                <c:formatCode>General</c:formatCode>
                <c:ptCount val="21"/>
                <c:pt idx="0">
                  <c:v>10</c:v>
                </c:pt>
                <c:pt idx="1">
                  <c:v>9.5</c:v>
                </c:pt>
                <c:pt idx="19">
                  <c:v>9.5</c:v>
                </c:pt>
                <c:pt idx="20">
                  <c:v>10</c:v>
                </c:pt>
              </c:numCache>
            </c:numRef>
          </c:val>
        </c:ser>
        <c:ser>
          <c:idx val="29"/>
          <c:order val="3"/>
          <c:tx>
            <c:v>2_L_HL</c:v>
          </c:tx>
          <c:spPr>
            <a:solidFill>
              <a:schemeClr val="bg1"/>
            </a:solidFill>
            <a:ln>
              <a:solidFill>
                <a:schemeClr val="bg1">
                  <a:lumMod val="50000"/>
                </a:schemeClr>
              </a:solidFill>
            </a:ln>
            <a:effectLst/>
          </c:spPr>
          <c:val>
            <c:numRef>
              <c:f>Calc!$U$16:$AO$16</c:f>
              <c:numCache>
                <c:formatCode>General</c:formatCode>
                <c:ptCount val="21"/>
                <c:pt idx="1">
                  <c:v>9</c:v>
                </c:pt>
                <c:pt idx="2">
                  <c:v>9</c:v>
                </c:pt>
                <c:pt idx="18">
                  <c:v>9</c:v>
                </c:pt>
                <c:pt idx="19">
                  <c:v>9</c:v>
                </c:pt>
              </c:numCache>
            </c:numRef>
          </c:val>
        </c:ser>
        <c:ser>
          <c:idx val="1"/>
          <c:order val="4"/>
          <c:tx>
            <c:v>2_L_FG</c:v>
          </c:tx>
          <c:spPr>
            <a:solidFill>
              <a:schemeClr val="bg1">
                <a:lumMod val="85000"/>
              </a:schemeClr>
            </a:solidFill>
            <a:ln w="3175">
              <a:solidFill>
                <a:schemeClr val="bg1">
                  <a:lumMod val="50000"/>
                </a:schemeClr>
              </a:solidFill>
            </a:ln>
            <a:effectLst/>
          </c:spPr>
          <c:val>
            <c:numRef>
              <c:f>Calc!$U$7:$AO$7</c:f>
              <c:numCache>
                <c:formatCode>General</c:formatCode>
                <c:ptCount val="21"/>
                <c:pt idx="1">
                  <c:v>0</c:v>
                </c:pt>
                <c:pt idx="2">
                  <c:v>-0.5</c:v>
                </c:pt>
                <c:pt idx="18">
                  <c:v>-0.5</c:v>
                </c:pt>
                <c:pt idx="19">
                  <c:v>0</c:v>
                </c:pt>
              </c:numCache>
            </c:numRef>
          </c:val>
        </c:ser>
        <c:ser>
          <c:idx val="28"/>
          <c:order val="5"/>
          <c:tx>
            <c:strRef>
              <c:f>Calc!$R$17</c:f>
              <c:strCache>
                <c:ptCount val="1"/>
                <c:pt idx="0">
                  <c:v>3_L_HL</c:v>
                </c:pt>
              </c:strCache>
            </c:strRef>
          </c:tx>
          <c:spPr>
            <a:solidFill>
              <a:schemeClr val="bg1"/>
            </a:solidFill>
            <a:ln>
              <a:solidFill>
                <a:schemeClr val="bg1">
                  <a:lumMod val="50000"/>
                </a:schemeClr>
              </a:solidFill>
            </a:ln>
            <a:effectLst/>
          </c:spPr>
          <c:val>
            <c:numRef>
              <c:f>Calc!$U$17:$AO$17</c:f>
              <c:numCache>
                <c:formatCode>General</c:formatCode>
                <c:ptCount val="21"/>
                <c:pt idx="2">
                  <c:v>8.5</c:v>
                </c:pt>
                <c:pt idx="3">
                  <c:v>8.5</c:v>
                </c:pt>
                <c:pt idx="17">
                  <c:v>8.5</c:v>
                </c:pt>
                <c:pt idx="18">
                  <c:v>8.5</c:v>
                </c:pt>
              </c:numCache>
            </c:numRef>
          </c:val>
        </c:ser>
        <c:ser>
          <c:idx val="2"/>
          <c:order val="6"/>
          <c:tx>
            <c:v>3_L_FG</c:v>
          </c:tx>
          <c:spPr>
            <a:solidFill>
              <a:schemeClr val="bg1">
                <a:lumMod val="75000"/>
              </a:schemeClr>
            </a:solidFill>
            <a:ln w="3175">
              <a:solidFill>
                <a:schemeClr val="bg1">
                  <a:lumMod val="50000"/>
                </a:schemeClr>
              </a:solidFill>
            </a:ln>
            <a:effectLst/>
          </c:spPr>
          <c:val>
            <c:numRef>
              <c:f>Calc!$U$8:$AO$8</c:f>
              <c:numCache>
                <c:formatCode>General</c:formatCode>
                <c:ptCount val="21"/>
                <c:pt idx="2">
                  <c:v>9</c:v>
                </c:pt>
                <c:pt idx="3">
                  <c:v>8.5</c:v>
                </c:pt>
                <c:pt idx="17">
                  <c:v>8.5</c:v>
                </c:pt>
                <c:pt idx="18">
                  <c:v>9</c:v>
                </c:pt>
              </c:numCache>
            </c:numRef>
          </c:val>
        </c:ser>
        <c:ser>
          <c:idx val="27"/>
          <c:order val="7"/>
          <c:tx>
            <c:strRef>
              <c:f>Calc!$R$18</c:f>
              <c:strCache>
                <c:ptCount val="1"/>
                <c:pt idx="0">
                  <c:v>4_L_HL</c:v>
                </c:pt>
              </c:strCache>
            </c:strRef>
          </c:tx>
          <c:spPr>
            <a:solidFill>
              <a:schemeClr val="bg1"/>
            </a:solidFill>
            <a:ln>
              <a:solidFill>
                <a:schemeClr val="bg1">
                  <a:lumMod val="50000"/>
                </a:schemeClr>
              </a:solidFill>
            </a:ln>
            <a:effectLst/>
          </c:spPr>
          <c:val>
            <c:numRef>
              <c:f>Calc!$U$18:$AO$18</c:f>
              <c:numCache>
                <c:formatCode>General</c:formatCode>
                <c:ptCount val="21"/>
                <c:pt idx="3">
                  <c:v>8</c:v>
                </c:pt>
                <c:pt idx="4">
                  <c:v>8</c:v>
                </c:pt>
                <c:pt idx="16">
                  <c:v>8</c:v>
                </c:pt>
                <c:pt idx="17">
                  <c:v>8</c:v>
                </c:pt>
              </c:numCache>
            </c:numRef>
          </c:val>
        </c:ser>
        <c:ser>
          <c:idx val="3"/>
          <c:order val="8"/>
          <c:tx>
            <c:v>4_L_FG</c:v>
          </c:tx>
          <c:spPr>
            <a:solidFill>
              <a:schemeClr val="bg1">
                <a:lumMod val="75000"/>
              </a:schemeClr>
            </a:solidFill>
            <a:ln w="3175">
              <a:solidFill>
                <a:schemeClr val="bg1">
                  <a:lumMod val="50000"/>
                </a:schemeClr>
              </a:solidFill>
            </a:ln>
            <a:effectLst/>
          </c:spPr>
          <c:val>
            <c:numRef>
              <c:f>Calc!$U$9:$AO$9</c:f>
              <c:numCache>
                <c:formatCode>General</c:formatCode>
                <c:ptCount val="21"/>
                <c:pt idx="3">
                  <c:v>8.5</c:v>
                </c:pt>
                <c:pt idx="4">
                  <c:v>8</c:v>
                </c:pt>
                <c:pt idx="16">
                  <c:v>8</c:v>
                </c:pt>
                <c:pt idx="17">
                  <c:v>8.5</c:v>
                </c:pt>
              </c:numCache>
            </c:numRef>
          </c:val>
        </c:ser>
        <c:ser>
          <c:idx val="26"/>
          <c:order val="9"/>
          <c:tx>
            <c:strRef>
              <c:f>Calc!$R$19</c:f>
              <c:strCache>
                <c:ptCount val="1"/>
                <c:pt idx="0">
                  <c:v>5_L_HL</c:v>
                </c:pt>
              </c:strCache>
            </c:strRef>
          </c:tx>
          <c:spPr>
            <a:solidFill>
              <a:schemeClr val="bg1"/>
            </a:solidFill>
            <a:ln>
              <a:solidFill>
                <a:schemeClr val="bg1">
                  <a:lumMod val="50000"/>
                </a:schemeClr>
              </a:solidFill>
            </a:ln>
            <a:effectLst/>
          </c:spPr>
          <c:val>
            <c:numRef>
              <c:f>Calc!$U$19:$AO$19</c:f>
              <c:numCache>
                <c:formatCode>General</c:formatCode>
                <c:ptCount val="21"/>
                <c:pt idx="4">
                  <c:v>7.5</c:v>
                </c:pt>
                <c:pt idx="5">
                  <c:v>7.5</c:v>
                </c:pt>
                <c:pt idx="15">
                  <c:v>7.5</c:v>
                </c:pt>
                <c:pt idx="16">
                  <c:v>7.5</c:v>
                </c:pt>
              </c:numCache>
            </c:numRef>
          </c:val>
        </c:ser>
        <c:ser>
          <c:idx val="4"/>
          <c:order val="10"/>
          <c:tx>
            <c:v>5_L_FG</c:v>
          </c:tx>
          <c:spPr>
            <a:solidFill>
              <a:schemeClr val="bg1">
                <a:lumMod val="65000"/>
              </a:schemeClr>
            </a:solidFill>
            <a:ln w="6350">
              <a:solidFill>
                <a:schemeClr val="bg1">
                  <a:lumMod val="50000"/>
                </a:schemeClr>
              </a:solidFill>
            </a:ln>
            <a:effectLst/>
          </c:spPr>
          <c:val>
            <c:numRef>
              <c:f>Calc!$U$10:$AO$10</c:f>
              <c:numCache>
                <c:formatCode>General</c:formatCode>
                <c:ptCount val="21"/>
                <c:pt idx="4">
                  <c:v>0</c:v>
                </c:pt>
                <c:pt idx="5">
                  <c:v>-0.5</c:v>
                </c:pt>
                <c:pt idx="15">
                  <c:v>-0.5</c:v>
                </c:pt>
                <c:pt idx="16">
                  <c:v>0</c:v>
                </c:pt>
              </c:numCache>
            </c:numRef>
          </c:val>
        </c:ser>
        <c:ser>
          <c:idx val="25"/>
          <c:order val="11"/>
          <c:tx>
            <c:strRef>
              <c:f>Calc!$R$20</c:f>
              <c:strCache>
                <c:ptCount val="1"/>
                <c:pt idx="0">
                  <c:v>6_L_HL</c:v>
                </c:pt>
              </c:strCache>
            </c:strRef>
          </c:tx>
          <c:spPr>
            <a:solidFill>
              <a:schemeClr val="bg1"/>
            </a:solidFill>
            <a:ln>
              <a:solidFill>
                <a:schemeClr val="bg1">
                  <a:lumMod val="50000"/>
                </a:schemeClr>
              </a:solidFill>
            </a:ln>
            <a:effectLst/>
          </c:spPr>
          <c:val>
            <c:numRef>
              <c:f>Calc!$U$20:$AO$20</c:f>
              <c:numCache>
                <c:formatCode>General</c:formatCode>
                <c:ptCount val="21"/>
                <c:pt idx="5">
                  <c:v>7</c:v>
                </c:pt>
                <c:pt idx="6">
                  <c:v>7</c:v>
                </c:pt>
                <c:pt idx="14">
                  <c:v>7</c:v>
                </c:pt>
                <c:pt idx="15">
                  <c:v>7</c:v>
                </c:pt>
              </c:numCache>
            </c:numRef>
          </c:val>
        </c:ser>
        <c:ser>
          <c:idx val="6"/>
          <c:order val="12"/>
          <c:tx>
            <c:v>6_L_FG</c:v>
          </c:tx>
          <c:spPr>
            <a:solidFill>
              <a:schemeClr val="bg1">
                <a:lumMod val="50000"/>
              </a:schemeClr>
            </a:solidFill>
            <a:ln>
              <a:solidFill>
                <a:schemeClr val="bg1">
                  <a:lumMod val="50000"/>
                </a:schemeClr>
              </a:solidFill>
            </a:ln>
            <a:effectLst/>
          </c:spPr>
          <c:val>
            <c:numRef>
              <c:f>Calc!$U$11:$AO$11</c:f>
              <c:numCache>
                <c:formatCode>General</c:formatCode>
                <c:ptCount val="21"/>
                <c:pt idx="5">
                  <c:v>7.5</c:v>
                </c:pt>
                <c:pt idx="6">
                  <c:v>7</c:v>
                </c:pt>
                <c:pt idx="14">
                  <c:v>7</c:v>
                </c:pt>
                <c:pt idx="15">
                  <c:v>7.5</c:v>
                </c:pt>
              </c:numCache>
            </c:numRef>
          </c:val>
        </c:ser>
        <c:ser>
          <c:idx val="24"/>
          <c:order val="13"/>
          <c:tx>
            <c:strRef>
              <c:f>Calc!$R$21</c:f>
              <c:strCache>
                <c:ptCount val="1"/>
                <c:pt idx="0">
                  <c:v>7_L_HL</c:v>
                </c:pt>
              </c:strCache>
            </c:strRef>
          </c:tx>
          <c:spPr>
            <a:solidFill>
              <a:schemeClr val="bg1"/>
            </a:solidFill>
            <a:ln>
              <a:solidFill>
                <a:schemeClr val="bg1">
                  <a:lumMod val="50000"/>
                </a:schemeClr>
              </a:solidFill>
            </a:ln>
            <a:effectLst/>
          </c:spPr>
          <c:val>
            <c:numRef>
              <c:f>Calc!$U$21:$AO$21</c:f>
              <c:numCache>
                <c:formatCode>General</c:formatCode>
                <c:ptCount val="21"/>
                <c:pt idx="6">
                  <c:v>6.5</c:v>
                </c:pt>
                <c:pt idx="7">
                  <c:v>6.5</c:v>
                </c:pt>
                <c:pt idx="13">
                  <c:v>6.5</c:v>
                </c:pt>
                <c:pt idx="14">
                  <c:v>6.5</c:v>
                </c:pt>
              </c:numCache>
            </c:numRef>
          </c:val>
        </c:ser>
        <c:ser>
          <c:idx val="7"/>
          <c:order val="14"/>
          <c:tx>
            <c:v>7_L_FG</c:v>
          </c:tx>
          <c:spPr>
            <a:solidFill>
              <a:schemeClr val="accent3">
                <a:lumMod val="50000"/>
              </a:schemeClr>
            </a:solidFill>
            <a:ln>
              <a:solidFill>
                <a:schemeClr val="bg1">
                  <a:lumMod val="50000"/>
                </a:schemeClr>
              </a:solidFill>
            </a:ln>
            <a:effectLst/>
          </c:spPr>
          <c:val>
            <c:numRef>
              <c:f>Calc!$U$12:$AO$12</c:f>
              <c:numCache>
                <c:formatCode>General</c:formatCode>
                <c:ptCount val="21"/>
                <c:pt idx="6">
                  <c:v>0</c:v>
                </c:pt>
                <c:pt idx="7">
                  <c:v>0</c:v>
                </c:pt>
                <c:pt idx="13">
                  <c:v>0</c:v>
                </c:pt>
                <c:pt idx="14">
                  <c:v>0</c:v>
                </c:pt>
              </c:numCache>
            </c:numRef>
          </c:val>
        </c:ser>
        <c:ser>
          <c:idx val="23"/>
          <c:order val="15"/>
          <c:tx>
            <c:strRef>
              <c:f>Calc!$R$22</c:f>
              <c:strCache>
                <c:ptCount val="1"/>
                <c:pt idx="0">
                  <c:v>8_L_HL</c:v>
                </c:pt>
              </c:strCache>
            </c:strRef>
          </c:tx>
          <c:spPr>
            <a:solidFill>
              <a:schemeClr val="bg1"/>
            </a:solidFill>
            <a:ln>
              <a:solidFill>
                <a:schemeClr val="bg1">
                  <a:lumMod val="50000"/>
                </a:schemeClr>
              </a:solidFill>
            </a:ln>
            <a:effectLst/>
          </c:spPr>
          <c:val>
            <c:numRef>
              <c:f>Calc!$U$22:$AO$22</c:f>
              <c:numCache>
                <c:formatCode>General</c:formatCode>
                <c:ptCount val="21"/>
                <c:pt idx="7">
                  <c:v>6</c:v>
                </c:pt>
                <c:pt idx="8">
                  <c:v>6</c:v>
                </c:pt>
                <c:pt idx="12">
                  <c:v>6</c:v>
                </c:pt>
                <c:pt idx="13">
                  <c:v>6</c:v>
                </c:pt>
              </c:numCache>
            </c:numRef>
          </c:val>
        </c:ser>
        <c:ser>
          <c:idx val="8"/>
          <c:order val="16"/>
          <c:tx>
            <c:v>8_L_FG</c:v>
          </c:tx>
          <c:spPr>
            <a:solidFill>
              <a:schemeClr val="bg2">
                <a:lumMod val="25000"/>
              </a:schemeClr>
            </a:solidFill>
            <a:ln>
              <a:solidFill>
                <a:schemeClr val="bg1">
                  <a:lumMod val="50000"/>
                </a:schemeClr>
              </a:solidFill>
            </a:ln>
            <a:effectLst/>
          </c:spPr>
          <c:val>
            <c:numRef>
              <c:f>Calc!$U$13:$AO$13</c:f>
              <c:numCache>
                <c:formatCode>General</c:formatCode>
                <c:ptCount val="21"/>
                <c:pt idx="7">
                  <c:v>0</c:v>
                </c:pt>
                <c:pt idx="8">
                  <c:v>0</c:v>
                </c:pt>
                <c:pt idx="12">
                  <c:v>0</c:v>
                </c:pt>
                <c:pt idx="13">
                  <c:v>0</c:v>
                </c:pt>
              </c:numCache>
            </c:numRef>
          </c:val>
        </c:ser>
        <c:ser>
          <c:idx val="22"/>
          <c:order val="17"/>
          <c:tx>
            <c:strRef>
              <c:f>Calc!$R$23</c:f>
              <c:strCache>
                <c:ptCount val="1"/>
                <c:pt idx="0">
                  <c:v>9_L_HL</c:v>
                </c:pt>
              </c:strCache>
            </c:strRef>
          </c:tx>
          <c:spPr>
            <a:solidFill>
              <a:schemeClr val="bg1"/>
            </a:solidFill>
            <a:ln>
              <a:solidFill>
                <a:schemeClr val="bg1">
                  <a:lumMod val="50000"/>
                </a:schemeClr>
              </a:solidFill>
            </a:ln>
            <a:effectLst/>
          </c:spPr>
          <c:val>
            <c:numRef>
              <c:f>Calc!$U$23:$AO$23</c:f>
              <c:numCache>
                <c:formatCode>General</c:formatCode>
                <c:ptCount val="21"/>
                <c:pt idx="8">
                  <c:v>5.5</c:v>
                </c:pt>
                <c:pt idx="9">
                  <c:v>5.5</c:v>
                </c:pt>
                <c:pt idx="10">
                  <c:v>5.5</c:v>
                </c:pt>
                <c:pt idx="11">
                  <c:v>5.5</c:v>
                </c:pt>
                <c:pt idx="12">
                  <c:v>5.5</c:v>
                </c:pt>
              </c:numCache>
            </c:numRef>
          </c:val>
        </c:ser>
        <c:ser>
          <c:idx val="9"/>
          <c:order val="18"/>
          <c:tx>
            <c:v>9_L_FG</c:v>
          </c:tx>
          <c:spPr>
            <a:solidFill>
              <a:schemeClr val="tx1">
                <a:lumMod val="85000"/>
                <a:lumOff val="15000"/>
              </a:schemeClr>
            </a:solidFill>
            <a:ln>
              <a:solidFill>
                <a:schemeClr val="bg1">
                  <a:lumMod val="50000"/>
                </a:schemeClr>
              </a:solidFill>
            </a:ln>
            <a:effectLst/>
          </c:spPr>
          <c:val>
            <c:numRef>
              <c:f>Calc!$U$14:$AO$14</c:f>
              <c:numCache>
                <c:formatCode>General</c:formatCode>
                <c:ptCount val="21"/>
                <c:pt idx="8">
                  <c:v>0</c:v>
                </c:pt>
                <c:pt idx="9">
                  <c:v>0</c:v>
                </c:pt>
                <c:pt idx="11">
                  <c:v>0</c:v>
                </c:pt>
                <c:pt idx="12">
                  <c:v>0</c:v>
                </c:pt>
              </c:numCache>
            </c:numRef>
          </c:val>
        </c:ser>
        <c:ser>
          <c:idx val="20"/>
          <c:order val="19"/>
          <c:tx>
            <c:v>unclosed_pathway</c:v>
          </c:tx>
          <c:spPr>
            <a:noFill/>
            <a:ln>
              <a:solidFill>
                <a:schemeClr val="bg1">
                  <a:lumMod val="50000"/>
                </a:schemeClr>
              </a:solidFill>
            </a:ln>
            <a:effectLst/>
          </c:spPr>
          <c:val>
            <c:numRef>
              <c:f>Calc!$U$35:$AO$35</c:f>
              <c:numCache>
                <c:formatCode>General</c:formatCode>
                <c:ptCount val="21"/>
                <c:pt idx="9">
                  <c:v>5.5</c:v>
                </c:pt>
                <c:pt idx="10">
                  <c:v>5.5</c:v>
                </c:pt>
                <c:pt idx="11">
                  <c:v>5.5</c:v>
                </c:pt>
              </c:numCache>
            </c:numRef>
          </c:val>
        </c:ser>
        <c:ser>
          <c:idx val="19"/>
          <c:order val="20"/>
          <c:tx>
            <c:v>9_L_BG</c:v>
          </c:tx>
          <c:spPr>
            <a:solidFill>
              <a:schemeClr val="tx1">
                <a:lumMod val="75000"/>
                <a:lumOff val="25000"/>
              </a:schemeClr>
            </a:solidFill>
            <a:ln>
              <a:solidFill>
                <a:schemeClr val="bg1">
                  <a:lumMod val="50000"/>
                </a:schemeClr>
              </a:solidFill>
            </a:ln>
            <a:effectLst/>
          </c:spPr>
          <c:val>
            <c:numRef>
              <c:f>Calc!$U$34:$AO$34</c:f>
              <c:numCache>
                <c:formatCode>General</c:formatCode>
                <c:ptCount val="21"/>
                <c:pt idx="8">
                  <c:v>6</c:v>
                </c:pt>
                <c:pt idx="9">
                  <c:v>6</c:v>
                </c:pt>
                <c:pt idx="10">
                  <c:v>6</c:v>
                </c:pt>
                <c:pt idx="11">
                  <c:v>6</c:v>
                </c:pt>
                <c:pt idx="12">
                  <c:v>6</c:v>
                </c:pt>
              </c:numCache>
            </c:numRef>
          </c:val>
        </c:ser>
        <c:ser>
          <c:idx val="18"/>
          <c:order val="21"/>
          <c:tx>
            <c:v>8_L_BG</c:v>
          </c:tx>
          <c:spPr>
            <a:solidFill>
              <a:schemeClr val="accent3">
                <a:lumMod val="50000"/>
              </a:schemeClr>
            </a:solidFill>
            <a:ln>
              <a:solidFill>
                <a:schemeClr val="bg1">
                  <a:lumMod val="50000"/>
                </a:schemeClr>
              </a:solidFill>
            </a:ln>
            <a:effectLst/>
          </c:spPr>
          <c:val>
            <c:numRef>
              <c:f>Calc!$U$33:$AO$33</c:f>
              <c:numCache>
                <c:formatCode>General</c:formatCode>
                <c:ptCount val="21"/>
                <c:pt idx="7">
                  <c:v>6.5</c:v>
                </c:pt>
                <c:pt idx="8">
                  <c:v>6.5</c:v>
                </c:pt>
                <c:pt idx="9">
                  <c:v>6.5</c:v>
                </c:pt>
                <c:pt idx="10">
                  <c:v>6.5</c:v>
                </c:pt>
                <c:pt idx="11">
                  <c:v>6.5</c:v>
                </c:pt>
                <c:pt idx="12">
                  <c:v>6.5</c:v>
                </c:pt>
                <c:pt idx="13">
                  <c:v>6.5</c:v>
                </c:pt>
              </c:numCache>
            </c:numRef>
          </c:val>
        </c:ser>
        <c:ser>
          <c:idx val="17"/>
          <c:order val="22"/>
          <c:tx>
            <c:v>7_L_BG</c:v>
          </c:tx>
          <c:spPr>
            <a:solidFill>
              <a:schemeClr val="accent3">
                <a:lumMod val="50000"/>
              </a:schemeClr>
            </a:solidFill>
            <a:ln>
              <a:solidFill>
                <a:schemeClr val="bg1">
                  <a:lumMod val="50000"/>
                </a:schemeClr>
              </a:solidFill>
            </a:ln>
            <a:effectLst/>
          </c:spPr>
          <c:val>
            <c:numRef>
              <c:f>Calc!$U$32:$AO$32</c:f>
              <c:numCache>
                <c:formatCode>General</c:formatCode>
                <c:ptCount val="21"/>
                <c:pt idx="6">
                  <c:v>7</c:v>
                </c:pt>
                <c:pt idx="7">
                  <c:v>7</c:v>
                </c:pt>
                <c:pt idx="8">
                  <c:v>7</c:v>
                </c:pt>
                <c:pt idx="9">
                  <c:v>7</c:v>
                </c:pt>
                <c:pt idx="10">
                  <c:v>7</c:v>
                </c:pt>
                <c:pt idx="11">
                  <c:v>7</c:v>
                </c:pt>
                <c:pt idx="12">
                  <c:v>7</c:v>
                </c:pt>
                <c:pt idx="13">
                  <c:v>7</c:v>
                </c:pt>
                <c:pt idx="14">
                  <c:v>7</c:v>
                </c:pt>
              </c:numCache>
            </c:numRef>
          </c:val>
        </c:ser>
        <c:ser>
          <c:idx val="16"/>
          <c:order val="23"/>
          <c:tx>
            <c:v>6_L_BG</c:v>
          </c:tx>
          <c:spPr>
            <a:solidFill>
              <a:schemeClr val="bg1">
                <a:lumMod val="65000"/>
              </a:schemeClr>
            </a:solidFill>
            <a:ln>
              <a:solidFill>
                <a:schemeClr val="bg1">
                  <a:lumMod val="50000"/>
                </a:schemeClr>
              </a:solidFill>
            </a:ln>
            <a:effectLst/>
          </c:spPr>
          <c:val>
            <c:numRef>
              <c:f>Calc!$U$31:$AO$31</c:f>
              <c:numCache>
                <c:formatCode>General</c:formatCode>
                <c:ptCount val="21"/>
                <c:pt idx="5">
                  <c:v>7.5</c:v>
                </c:pt>
                <c:pt idx="6">
                  <c:v>7.5</c:v>
                </c:pt>
                <c:pt idx="7">
                  <c:v>7.5</c:v>
                </c:pt>
                <c:pt idx="8">
                  <c:v>7.5</c:v>
                </c:pt>
                <c:pt idx="9">
                  <c:v>7.5</c:v>
                </c:pt>
                <c:pt idx="10">
                  <c:v>7.5</c:v>
                </c:pt>
                <c:pt idx="11">
                  <c:v>7.5</c:v>
                </c:pt>
                <c:pt idx="12">
                  <c:v>7.5</c:v>
                </c:pt>
                <c:pt idx="13">
                  <c:v>7.5</c:v>
                </c:pt>
                <c:pt idx="14">
                  <c:v>7.5</c:v>
                </c:pt>
                <c:pt idx="15">
                  <c:v>7.5</c:v>
                </c:pt>
              </c:numCache>
            </c:numRef>
          </c:val>
        </c:ser>
        <c:ser>
          <c:idx val="15"/>
          <c:order val="24"/>
          <c:tx>
            <c:v>5_L_BG</c:v>
          </c:tx>
          <c:spPr>
            <a:solidFill>
              <a:schemeClr val="bg1">
                <a:lumMod val="65000"/>
              </a:schemeClr>
            </a:solidFill>
            <a:ln>
              <a:solidFill>
                <a:schemeClr val="bg1">
                  <a:lumMod val="50000"/>
                </a:schemeClr>
              </a:solidFill>
            </a:ln>
            <a:effectLst/>
          </c:spPr>
          <c:val>
            <c:numRef>
              <c:f>Calc!$U$30:$AO$30</c:f>
              <c:numCache>
                <c:formatCode>General</c:formatCode>
                <c:ptCount val="21"/>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er>
        <c:ser>
          <c:idx val="14"/>
          <c:order val="25"/>
          <c:tx>
            <c:v>4_L_BG</c:v>
          </c:tx>
          <c:spPr>
            <a:solidFill>
              <a:schemeClr val="bg1">
                <a:lumMod val="75000"/>
              </a:schemeClr>
            </a:solidFill>
            <a:ln>
              <a:solidFill>
                <a:schemeClr val="bg1">
                  <a:lumMod val="50000"/>
                </a:schemeClr>
              </a:solidFill>
            </a:ln>
            <a:effectLst/>
          </c:spPr>
          <c:val>
            <c:numRef>
              <c:f>Calc!$U$29:$AO$29</c:f>
              <c:numCache>
                <c:formatCode>General</c:formatCode>
                <c:ptCount val="21"/>
                <c:pt idx="3">
                  <c:v>8.5</c:v>
                </c:pt>
                <c:pt idx="4">
                  <c:v>8.5</c:v>
                </c:pt>
                <c:pt idx="5">
                  <c:v>8.5</c:v>
                </c:pt>
                <c:pt idx="6">
                  <c:v>8.5</c:v>
                </c:pt>
                <c:pt idx="7">
                  <c:v>8.5</c:v>
                </c:pt>
                <c:pt idx="8">
                  <c:v>8.5</c:v>
                </c:pt>
                <c:pt idx="9">
                  <c:v>8.5</c:v>
                </c:pt>
                <c:pt idx="10">
                  <c:v>8.5</c:v>
                </c:pt>
                <c:pt idx="11">
                  <c:v>8.5</c:v>
                </c:pt>
                <c:pt idx="12">
                  <c:v>8.5</c:v>
                </c:pt>
                <c:pt idx="13">
                  <c:v>8.5</c:v>
                </c:pt>
                <c:pt idx="14">
                  <c:v>8.5</c:v>
                </c:pt>
                <c:pt idx="15">
                  <c:v>8.5</c:v>
                </c:pt>
                <c:pt idx="16">
                  <c:v>8.5</c:v>
                </c:pt>
                <c:pt idx="17">
                  <c:v>8.5</c:v>
                </c:pt>
              </c:numCache>
            </c:numRef>
          </c:val>
        </c:ser>
        <c:ser>
          <c:idx val="12"/>
          <c:order val="26"/>
          <c:tx>
            <c:v>2_L_BG</c:v>
          </c:tx>
          <c:spPr>
            <a:solidFill>
              <a:schemeClr val="bg1">
                <a:lumMod val="75000"/>
              </a:schemeClr>
            </a:solidFill>
            <a:ln>
              <a:solidFill>
                <a:schemeClr val="bg1">
                  <a:lumMod val="50000"/>
                </a:schemeClr>
              </a:solidFill>
            </a:ln>
            <a:effectLst/>
          </c:spPr>
          <c:val>
            <c:numRef>
              <c:f>Calc!$U$27:$AO$27</c:f>
              <c:numCache>
                <c:formatCode>General</c:formatCode>
                <c:ptCount val="21"/>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er>
        <c:ser>
          <c:idx val="11"/>
          <c:order val="27"/>
          <c:tx>
            <c:v>1_L_BG</c:v>
          </c:tx>
          <c:spPr>
            <a:solidFill>
              <a:schemeClr val="bg1">
                <a:lumMod val="85000"/>
              </a:schemeClr>
            </a:solidFill>
            <a:ln>
              <a:noFill/>
            </a:ln>
            <a:effectLst/>
          </c:spPr>
          <c:val>
            <c:numRef>
              <c:f>Calc!$U$26:$AO$26</c:f>
              <c:numCache>
                <c:formatCode>General</c:formatCode>
                <c:ptCount val="21"/>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numCache>
            </c:numRef>
          </c:val>
        </c:ser>
        <c:ser>
          <c:idx val="10"/>
          <c:order val="28"/>
          <c:tx>
            <c:v>Floor</c:v>
          </c:tx>
          <c:spPr>
            <a:gradFill flip="none" rotWithShape="1">
              <a:gsLst>
                <a:gs pos="0">
                  <a:schemeClr val="accent1">
                    <a:lumMod val="5000"/>
                    <a:lumOff val="95000"/>
                  </a:schemeClr>
                </a:gs>
                <a:gs pos="79000">
                  <a:schemeClr val="tx1">
                    <a:lumMod val="85000"/>
                    <a:lumOff val="15000"/>
                  </a:schemeClr>
                </a:gs>
              </a:gsLst>
              <a:lin ang="16200000" scaled="1"/>
              <a:tileRect/>
            </a:gradFill>
            <a:ln w="3175">
              <a:solidFill>
                <a:schemeClr val="bg1">
                  <a:lumMod val="65000"/>
                </a:schemeClr>
              </a:solidFill>
            </a:ln>
            <a:effectLst/>
          </c:spPr>
          <c:val>
            <c:numRef>
              <c:f>Calc!$U$24:$AO$24</c:f>
              <c:numCache>
                <c:formatCode>General</c:formatCode>
                <c:ptCount val="21"/>
                <c:pt idx="0">
                  <c:v>0</c:v>
                </c:pt>
                <c:pt idx="1">
                  <c:v>0</c:v>
                </c:pt>
                <c:pt idx="2">
                  <c:v>0</c:v>
                </c:pt>
                <c:pt idx="3">
                  <c:v>0</c:v>
                </c:pt>
                <c:pt idx="4">
                  <c:v>0</c:v>
                </c:pt>
                <c:pt idx="5">
                  <c:v>0</c:v>
                </c:pt>
                <c:pt idx="6">
                  <c:v>-6</c:v>
                </c:pt>
                <c:pt idx="7">
                  <c:v>-5</c:v>
                </c:pt>
                <c:pt idx="8">
                  <c:v>-4</c:v>
                </c:pt>
                <c:pt idx="9">
                  <c:v>-4</c:v>
                </c:pt>
                <c:pt idx="10">
                  <c:v>-4</c:v>
                </c:pt>
                <c:pt idx="11">
                  <c:v>-4</c:v>
                </c:pt>
                <c:pt idx="12">
                  <c:v>-4</c:v>
                </c:pt>
                <c:pt idx="13">
                  <c:v>-5</c:v>
                </c:pt>
                <c:pt idx="14">
                  <c:v>-6</c:v>
                </c:pt>
                <c:pt idx="15">
                  <c:v>0</c:v>
                </c:pt>
                <c:pt idx="16">
                  <c:v>0</c:v>
                </c:pt>
                <c:pt idx="17">
                  <c:v>0</c:v>
                </c:pt>
                <c:pt idx="18">
                  <c:v>0</c:v>
                </c:pt>
                <c:pt idx="19">
                  <c:v>0</c:v>
                </c:pt>
                <c:pt idx="20">
                  <c:v>0</c:v>
                </c:pt>
              </c:numCache>
            </c:numRef>
          </c:val>
        </c:ser>
        <c:dLbls>
          <c:showLegendKey val="0"/>
          <c:showVal val="0"/>
          <c:showCatName val="0"/>
          <c:showSerName val="0"/>
          <c:showPercent val="0"/>
          <c:showBubbleSize val="0"/>
        </c:dLbls>
        <c:axId val="315983744"/>
        <c:axId val="315985280"/>
      </c:areaChart>
      <c:catAx>
        <c:axId val="315983744"/>
        <c:scaling>
          <c:orientation val="minMax"/>
        </c:scaling>
        <c:delete val="1"/>
        <c:axPos val="b"/>
        <c:majorTickMark val="out"/>
        <c:minorTickMark val="none"/>
        <c:tickLblPos val="nextTo"/>
        <c:crossAx val="315985280"/>
        <c:crosses val="autoZero"/>
        <c:auto val="1"/>
        <c:lblAlgn val="ctr"/>
        <c:lblOffset val="100"/>
        <c:noMultiLvlLbl val="0"/>
      </c:catAx>
      <c:valAx>
        <c:axId val="315985280"/>
        <c:scaling>
          <c:orientation val="minMax"/>
          <c:max val="14"/>
          <c:min val="0"/>
        </c:scaling>
        <c:delete val="1"/>
        <c:axPos val="l"/>
        <c:numFmt formatCode="General" sourceLinked="1"/>
        <c:majorTickMark val="out"/>
        <c:minorTickMark val="none"/>
        <c:tickLblPos val="nextTo"/>
        <c:crossAx val="315983744"/>
        <c:crosses val="autoZero"/>
        <c:crossBetween val="midCat"/>
      </c:valAx>
      <c:spPr>
        <a:noFill/>
        <a:ln>
          <a:solidFill>
            <a:schemeClr val="bg1">
              <a:lumMod val="50000"/>
            </a:schemeClr>
          </a:solid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788172223403582E-2"/>
          <c:y val="1.7932936908866076E-2"/>
          <c:w val="0.88655024251173553"/>
          <c:h val="0.88834352673808481"/>
        </c:manualLayout>
      </c:layout>
      <c:areaChart>
        <c:grouping val="standard"/>
        <c:varyColors val="0"/>
        <c:ser>
          <c:idx val="5"/>
          <c:order val="0"/>
          <c:tx>
            <c:v>Horizon</c:v>
          </c:tx>
          <c:spPr>
            <a:solidFill>
              <a:schemeClr val="bg1"/>
            </a:solidFill>
            <a:ln w="3175">
              <a:solidFill>
                <a:schemeClr val="bg1">
                  <a:lumMod val="50000"/>
                </a:schemeClr>
              </a:solidFill>
            </a:ln>
            <a:effectLst/>
          </c:spPr>
          <c:val>
            <c:numRef>
              <c:f>Calc!$U$25:$AO$25</c:f>
              <c:numCache>
                <c:formatCode>General</c:formatCode>
                <c:ptCount val="21"/>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numCache>
            </c:numRef>
          </c:val>
        </c:ser>
        <c:ser>
          <c:idx val="30"/>
          <c:order val="1"/>
          <c:tx>
            <c:v>1_L_HL</c:v>
          </c:tx>
          <c:spPr>
            <a:noFill/>
            <a:ln>
              <a:solidFill>
                <a:schemeClr val="bg1">
                  <a:lumMod val="50000"/>
                </a:schemeClr>
              </a:solidFill>
            </a:ln>
            <a:effectLst/>
          </c:spPr>
          <c:val>
            <c:numRef>
              <c:f>Calc!$U$15:$AO$15</c:f>
              <c:numCache>
                <c:formatCode>General</c:formatCode>
                <c:ptCount val="21"/>
                <c:pt idx="0">
                  <c:v>9.5</c:v>
                </c:pt>
                <c:pt idx="1">
                  <c:v>9.5</c:v>
                </c:pt>
                <c:pt idx="19">
                  <c:v>9.5</c:v>
                </c:pt>
                <c:pt idx="20">
                  <c:v>9.5</c:v>
                </c:pt>
              </c:numCache>
            </c:numRef>
          </c:val>
        </c:ser>
        <c:ser>
          <c:idx val="0"/>
          <c:order val="2"/>
          <c:tx>
            <c:v>1_L_FG</c:v>
          </c:tx>
          <c:spPr>
            <a:solidFill>
              <a:schemeClr val="bg1">
                <a:lumMod val="85000"/>
              </a:schemeClr>
            </a:solidFill>
            <a:ln w="3175">
              <a:solidFill>
                <a:schemeClr val="bg1">
                  <a:lumMod val="50000"/>
                </a:schemeClr>
              </a:solidFill>
            </a:ln>
            <a:effectLst/>
          </c:spPr>
          <c:val>
            <c:numRef>
              <c:f>Calc!$U$6:$AO$6</c:f>
              <c:numCache>
                <c:formatCode>General</c:formatCode>
                <c:ptCount val="21"/>
                <c:pt idx="0">
                  <c:v>10</c:v>
                </c:pt>
                <c:pt idx="1">
                  <c:v>9.5</c:v>
                </c:pt>
                <c:pt idx="19">
                  <c:v>9.5</c:v>
                </c:pt>
                <c:pt idx="20">
                  <c:v>10</c:v>
                </c:pt>
              </c:numCache>
            </c:numRef>
          </c:val>
        </c:ser>
        <c:ser>
          <c:idx val="29"/>
          <c:order val="3"/>
          <c:tx>
            <c:v>2_L_HL</c:v>
          </c:tx>
          <c:spPr>
            <a:noFill/>
            <a:ln>
              <a:solidFill>
                <a:schemeClr val="bg1">
                  <a:lumMod val="50000"/>
                </a:schemeClr>
              </a:solidFill>
            </a:ln>
            <a:effectLst/>
          </c:spPr>
          <c:val>
            <c:numRef>
              <c:f>Calc!$U$16:$AO$16</c:f>
              <c:numCache>
                <c:formatCode>General</c:formatCode>
                <c:ptCount val="21"/>
                <c:pt idx="1">
                  <c:v>9</c:v>
                </c:pt>
                <c:pt idx="2">
                  <c:v>9</c:v>
                </c:pt>
                <c:pt idx="18">
                  <c:v>9</c:v>
                </c:pt>
                <c:pt idx="19">
                  <c:v>9</c:v>
                </c:pt>
              </c:numCache>
            </c:numRef>
          </c:val>
        </c:ser>
        <c:ser>
          <c:idx val="1"/>
          <c:order val="4"/>
          <c:tx>
            <c:v>2_L_FG</c:v>
          </c:tx>
          <c:spPr>
            <a:solidFill>
              <a:schemeClr val="bg1">
                <a:lumMod val="85000"/>
              </a:schemeClr>
            </a:solidFill>
            <a:ln w="3175">
              <a:solidFill>
                <a:schemeClr val="bg1">
                  <a:lumMod val="50000"/>
                </a:schemeClr>
              </a:solidFill>
            </a:ln>
            <a:effectLst/>
          </c:spPr>
          <c:val>
            <c:numRef>
              <c:f>Calc!$U$7:$AO$7</c:f>
              <c:numCache>
                <c:formatCode>General</c:formatCode>
                <c:ptCount val="21"/>
                <c:pt idx="1">
                  <c:v>0</c:v>
                </c:pt>
                <c:pt idx="2">
                  <c:v>-0.5</c:v>
                </c:pt>
                <c:pt idx="18">
                  <c:v>-0.5</c:v>
                </c:pt>
                <c:pt idx="19">
                  <c:v>0</c:v>
                </c:pt>
              </c:numCache>
            </c:numRef>
          </c:val>
        </c:ser>
        <c:ser>
          <c:idx val="28"/>
          <c:order val="5"/>
          <c:tx>
            <c:strRef>
              <c:f>Calc!$R$17</c:f>
              <c:strCache>
                <c:ptCount val="1"/>
                <c:pt idx="0">
                  <c:v>3_L_HL</c:v>
                </c:pt>
              </c:strCache>
            </c:strRef>
          </c:tx>
          <c:spPr>
            <a:noFill/>
            <a:ln>
              <a:solidFill>
                <a:schemeClr val="bg1">
                  <a:lumMod val="50000"/>
                </a:schemeClr>
              </a:solidFill>
            </a:ln>
            <a:effectLst/>
          </c:spPr>
          <c:val>
            <c:numRef>
              <c:f>Calc!$U$17:$AO$17</c:f>
              <c:numCache>
                <c:formatCode>General</c:formatCode>
                <c:ptCount val="21"/>
                <c:pt idx="2">
                  <c:v>8.5</c:v>
                </c:pt>
                <c:pt idx="3">
                  <c:v>8.5</c:v>
                </c:pt>
                <c:pt idx="17">
                  <c:v>8.5</c:v>
                </c:pt>
                <c:pt idx="18">
                  <c:v>8.5</c:v>
                </c:pt>
              </c:numCache>
            </c:numRef>
          </c:val>
        </c:ser>
        <c:ser>
          <c:idx val="2"/>
          <c:order val="6"/>
          <c:tx>
            <c:v>3_L_FG</c:v>
          </c:tx>
          <c:spPr>
            <a:solidFill>
              <a:schemeClr val="bg1">
                <a:lumMod val="75000"/>
              </a:schemeClr>
            </a:solidFill>
            <a:ln w="3175">
              <a:solidFill>
                <a:schemeClr val="bg1">
                  <a:lumMod val="50000"/>
                </a:schemeClr>
              </a:solidFill>
            </a:ln>
            <a:effectLst/>
          </c:spPr>
          <c:val>
            <c:numRef>
              <c:f>Calc!$U$8:$AO$8</c:f>
              <c:numCache>
                <c:formatCode>General</c:formatCode>
                <c:ptCount val="21"/>
                <c:pt idx="2">
                  <c:v>9</c:v>
                </c:pt>
                <c:pt idx="3">
                  <c:v>8.5</c:v>
                </c:pt>
                <c:pt idx="17">
                  <c:v>8.5</c:v>
                </c:pt>
                <c:pt idx="18">
                  <c:v>9</c:v>
                </c:pt>
              </c:numCache>
            </c:numRef>
          </c:val>
        </c:ser>
        <c:ser>
          <c:idx val="27"/>
          <c:order val="7"/>
          <c:tx>
            <c:strRef>
              <c:f>Calc!$R$18</c:f>
              <c:strCache>
                <c:ptCount val="1"/>
                <c:pt idx="0">
                  <c:v>4_L_HL</c:v>
                </c:pt>
              </c:strCache>
            </c:strRef>
          </c:tx>
          <c:spPr>
            <a:noFill/>
            <a:ln>
              <a:solidFill>
                <a:schemeClr val="bg1">
                  <a:lumMod val="50000"/>
                </a:schemeClr>
              </a:solidFill>
            </a:ln>
            <a:effectLst/>
          </c:spPr>
          <c:val>
            <c:numRef>
              <c:f>Calc!$U$18:$AO$18</c:f>
              <c:numCache>
                <c:formatCode>General</c:formatCode>
                <c:ptCount val="21"/>
                <c:pt idx="3">
                  <c:v>8</c:v>
                </c:pt>
                <c:pt idx="4">
                  <c:v>8</c:v>
                </c:pt>
                <c:pt idx="16">
                  <c:v>8</c:v>
                </c:pt>
                <c:pt idx="17">
                  <c:v>8</c:v>
                </c:pt>
              </c:numCache>
            </c:numRef>
          </c:val>
        </c:ser>
        <c:ser>
          <c:idx val="3"/>
          <c:order val="8"/>
          <c:tx>
            <c:v>4_L_FG</c:v>
          </c:tx>
          <c:spPr>
            <a:solidFill>
              <a:schemeClr val="bg1">
                <a:lumMod val="75000"/>
              </a:schemeClr>
            </a:solidFill>
            <a:ln w="3175">
              <a:solidFill>
                <a:schemeClr val="bg1">
                  <a:lumMod val="50000"/>
                </a:schemeClr>
              </a:solidFill>
            </a:ln>
            <a:effectLst/>
          </c:spPr>
          <c:val>
            <c:numRef>
              <c:f>Calc!$U$9:$AO$9</c:f>
              <c:numCache>
                <c:formatCode>General</c:formatCode>
                <c:ptCount val="21"/>
                <c:pt idx="3">
                  <c:v>8.5</c:v>
                </c:pt>
                <c:pt idx="4">
                  <c:v>8</c:v>
                </c:pt>
                <c:pt idx="16">
                  <c:v>8</c:v>
                </c:pt>
                <c:pt idx="17">
                  <c:v>8.5</c:v>
                </c:pt>
              </c:numCache>
            </c:numRef>
          </c:val>
        </c:ser>
        <c:ser>
          <c:idx val="26"/>
          <c:order val="9"/>
          <c:tx>
            <c:strRef>
              <c:f>Calc!$R$19</c:f>
              <c:strCache>
                <c:ptCount val="1"/>
                <c:pt idx="0">
                  <c:v>5_L_HL</c:v>
                </c:pt>
              </c:strCache>
            </c:strRef>
          </c:tx>
          <c:spPr>
            <a:noFill/>
            <a:ln>
              <a:solidFill>
                <a:schemeClr val="bg1">
                  <a:lumMod val="50000"/>
                </a:schemeClr>
              </a:solidFill>
            </a:ln>
            <a:effectLst/>
          </c:spPr>
          <c:val>
            <c:numRef>
              <c:f>Calc!$U$19:$AO$19</c:f>
              <c:numCache>
                <c:formatCode>General</c:formatCode>
                <c:ptCount val="21"/>
                <c:pt idx="4">
                  <c:v>7.5</c:v>
                </c:pt>
                <c:pt idx="5">
                  <c:v>7.5</c:v>
                </c:pt>
                <c:pt idx="15">
                  <c:v>7.5</c:v>
                </c:pt>
                <c:pt idx="16">
                  <c:v>7.5</c:v>
                </c:pt>
              </c:numCache>
            </c:numRef>
          </c:val>
        </c:ser>
        <c:ser>
          <c:idx val="4"/>
          <c:order val="10"/>
          <c:tx>
            <c:v>5_L_FG</c:v>
          </c:tx>
          <c:spPr>
            <a:solidFill>
              <a:schemeClr val="bg1">
                <a:lumMod val="65000"/>
              </a:schemeClr>
            </a:solidFill>
            <a:ln w="6350">
              <a:solidFill>
                <a:schemeClr val="bg1">
                  <a:lumMod val="50000"/>
                </a:schemeClr>
              </a:solidFill>
            </a:ln>
            <a:effectLst/>
          </c:spPr>
          <c:val>
            <c:numRef>
              <c:f>Calc!$U$10:$AO$10</c:f>
              <c:numCache>
                <c:formatCode>General</c:formatCode>
                <c:ptCount val="21"/>
                <c:pt idx="4">
                  <c:v>0</c:v>
                </c:pt>
                <c:pt idx="5">
                  <c:v>-0.5</c:v>
                </c:pt>
                <c:pt idx="15">
                  <c:v>-0.5</c:v>
                </c:pt>
                <c:pt idx="16">
                  <c:v>0</c:v>
                </c:pt>
              </c:numCache>
            </c:numRef>
          </c:val>
        </c:ser>
        <c:ser>
          <c:idx val="25"/>
          <c:order val="11"/>
          <c:tx>
            <c:strRef>
              <c:f>Calc!$R$20</c:f>
              <c:strCache>
                <c:ptCount val="1"/>
                <c:pt idx="0">
                  <c:v>6_L_HL</c:v>
                </c:pt>
              </c:strCache>
            </c:strRef>
          </c:tx>
          <c:spPr>
            <a:noFill/>
            <a:ln>
              <a:solidFill>
                <a:schemeClr val="bg1">
                  <a:lumMod val="50000"/>
                </a:schemeClr>
              </a:solidFill>
            </a:ln>
            <a:effectLst/>
          </c:spPr>
          <c:val>
            <c:numRef>
              <c:f>Calc!$U$20:$AO$20</c:f>
              <c:numCache>
                <c:formatCode>General</c:formatCode>
                <c:ptCount val="21"/>
                <c:pt idx="5">
                  <c:v>7</c:v>
                </c:pt>
                <c:pt idx="6">
                  <c:v>7</c:v>
                </c:pt>
                <c:pt idx="14">
                  <c:v>7</c:v>
                </c:pt>
                <c:pt idx="15">
                  <c:v>7</c:v>
                </c:pt>
              </c:numCache>
            </c:numRef>
          </c:val>
        </c:ser>
        <c:ser>
          <c:idx val="6"/>
          <c:order val="12"/>
          <c:tx>
            <c:v>6_L_FG</c:v>
          </c:tx>
          <c:spPr>
            <a:solidFill>
              <a:schemeClr val="bg1">
                <a:lumMod val="50000"/>
              </a:schemeClr>
            </a:solidFill>
            <a:ln>
              <a:solidFill>
                <a:schemeClr val="bg1">
                  <a:lumMod val="50000"/>
                </a:schemeClr>
              </a:solidFill>
            </a:ln>
            <a:effectLst/>
          </c:spPr>
          <c:val>
            <c:numRef>
              <c:f>Calc!$U$11:$AO$11</c:f>
              <c:numCache>
                <c:formatCode>General</c:formatCode>
                <c:ptCount val="21"/>
                <c:pt idx="5">
                  <c:v>7.5</c:v>
                </c:pt>
                <c:pt idx="6">
                  <c:v>7</c:v>
                </c:pt>
                <c:pt idx="14">
                  <c:v>7</c:v>
                </c:pt>
                <c:pt idx="15">
                  <c:v>7.5</c:v>
                </c:pt>
              </c:numCache>
            </c:numRef>
          </c:val>
        </c:ser>
        <c:ser>
          <c:idx val="24"/>
          <c:order val="13"/>
          <c:tx>
            <c:strRef>
              <c:f>Calc!$R$21</c:f>
              <c:strCache>
                <c:ptCount val="1"/>
                <c:pt idx="0">
                  <c:v>7_L_HL</c:v>
                </c:pt>
              </c:strCache>
            </c:strRef>
          </c:tx>
          <c:spPr>
            <a:noFill/>
            <a:ln>
              <a:solidFill>
                <a:schemeClr val="bg1">
                  <a:lumMod val="50000"/>
                </a:schemeClr>
              </a:solidFill>
            </a:ln>
            <a:effectLst/>
          </c:spPr>
          <c:val>
            <c:numRef>
              <c:f>Calc!$U$21:$AO$21</c:f>
              <c:numCache>
                <c:formatCode>General</c:formatCode>
                <c:ptCount val="21"/>
                <c:pt idx="6">
                  <c:v>6.5</c:v>
                </c:pt>
                <c:pt idx="7">
                  <c:v>6.5</c:v>
                </c:pt>
                <c:pt idx="13">
                  <c:v>6.5</c:v>
                </c:pt>
                <c:pt idx="14">
                  <c:v>6.5</c:v>
                </c:pt>
              </c:numCache>
            </c:numRef>
          </c:val>
        </c:ser>
        <c:ser>
          <c:idx val="7"/>
          <c:order val="14"/>
          <c:tx>
            <c:v>7_L_FG</c:v>
          </c:tx>
          <c:spPr>
            <a:solidFill>
              <a:schemeClr val="accent3">
                <a:lumMod val="50000"/>
              </a:schemeClr>
            </a:solidFill>
            <a:ln>
              <a:solidFill>
                <a:schemeClr val="bg1">
                  <a:lumMod val="50000"/>
                </a:schemeClr>
              </a:solidFill>
            </a:ln>
            <a:effectLst/>
          </c:spPr>
          <c:val>
            <c:numRef>
              <c:f>Calc!$U$12:$AO$12</c:f>
              <c:numCache>
                <c:formatCode>General</c:formatCode>
                <c:ptCount val="21"/>
                <c:pt idx="6">
                  <c:v>0</c:v>
                </c:pt>
                <c:pt idx="7">
                  <c:v>0</c:v>
                </c:pt>
                <c:pt idx="13">
                  <c:v>0</c:v>
                </c:pt>
                <c:pt idx="14">
                  <c:v>0</c:v>
                </c:pt>
              </c:numCache>
            </c:numRef>
          </c:val>
        </c:ser>
        <c:ser>
          <c:idx val="23"/>
          <c:order val="15"/>
          <c:tx>
            <c:strRef>
              <c:f>Calc!$R$22</c:f>
              <c:strCache>
                <c:ptCount val="1"/>
                <c:pt idx="0">
                  <c:v>8_L_HL</c:v>
                </c:pt>
              </c:strCache>
            </c:strRef>
          </c:tx>
          <c:spPr>
            <a:solidFill>
              <a:schemeClr val="bg1"/>
            </a:solidFill>
            <a:ln>
              <a:solidFill>
                <a:schemeClr val="bg1">
                  <a:lumMod val="50000"/>
                </a:schemeClr>
              </a:solidFill>
            </a:ln>
            <a:effectLst/>
          </c:spPr>
          <c:val>
            <c:numRef>
              <c:f>Calc!$U$22:$AO$22</c:f>
              <c:numCache>
                <c:formatCode>General</c:formatCode>
                <c:ptCount val="21"/>
                <c:pt idx="7">
                  <c:v>6</c:v>
                </c:pt>
                <c:pt idx="8">
                  <c:v>6</c:v>
                </c:pt>
                <c:pt idx="12">
                  <c:v>6</c:v>
                </c:pt>
                <c:pt idx="13">
                  <c:v>6</c:v>
                </c:pt>
              </c:numCache>
            </c:numRef>
          </c:val>
        </c:ser>
        <c:ser>
          <c:idx val="8"/>
          <c:order val="16"/>
          <c:tx>
            <c:v>8_L_FG</c:v>
          </c:tx>
          <c:spPr>
            <a:solidFill>
              <a:schemeClr val="tx1">
                <a:lumMod val="75000"/>
                <a:lumOff val="25000"/>
              </a:schemeClr>
            </a:solidFill>
            <a:ln>
              <a:solidFill>
                <a:schemeClr val="bg1">
                  <a:lumMod val="50000"/>
                </a:schemeClr>
              </a:solidFill>
            </a:ln>
            <a:effectLst/>
          </c:spPr>
          <c:val>
            <c:numRef>
              <c:f>Calc!$U$13:$AO$13</c:f>
              <c:numCache>
                <c:formatCode>General</c:formatCode>
                <c:ptCount val="21"/>
                <c:pt idx="7">
                  <c:v>0</c:v>
                </c:pt>
                <c:pt idx="8">
                  <c:v>0</c:v>
                </c:pt>
                <c:pt idx="12">
                  <c:v>0</c:v>
                </c:pt>
                <c:pt idx="13">
                  <c:v>0</c:v>
                </c:pt>
              </c:numCache>
            </c:numRef>
          </c:val>
        </c:ser>
        <c:ser>
          <c:idx val="22"/>
          <c:order val="17"/>
          <c:tx>
            <c:strRef>
              <c:f>Calc!$R$23</c:f>
              <c:strCache>
                <c:ptCount val="1"/>
                <c:pt idx="0">
                  <c:v>9_L_HL</c:v>
                </c:pt>
              </c:strCache>
            </c:strRef>
          </c:tx>
          <c:spPr>
            <a:noFill/>
            <a:ln>
              <a:solidFill>
                <a:schemeClr val="bg1">
                  <a:lumMod val="50000"/>
                </a:schemeClr>
              </a:solidFill>
            </a:ln>
            <a:effectLst/>
          </c:spPr>
          <c:val>
            <c:numRef>
              <c:f>Calc!$U$23:$AO$23</c:f>
              <c:numCache>
                <c:formatCode>General</c:formatCode>
                <c:ptCount val="21"/>
                <c:pt idx="8">
                  <c:v>5.5</c:v>
                </c:pt>
                <c:pt idx="9">
                  <c:v>5.5</c:v>
                </c:pt>
                <c:pt idx="10">
                  <c:v>5.5</c:v>
                </c:pt>
                <c:pt idx="11">
                  <c:v>5.5</c:v>
                </c:pt>
                <c:pt idx="12">
                  <c:v>5.5</c:v>
                </c:pt>
              </c:numCache>
            </c:numRef>
          </c:val>
        </c:ser>
        <c:ser>
          <c:idx val="9"/>
          <c:order val="18"/>
          <c:tx>
            <c:v>9_L_FG</c:v>
          </c:tx>
          <c:spPr>
            <a:solidFill>
              <a:schemeClr val="bg2">
                <a:lumMod val="25000"/>
              </a:schemeClr>
            </a:solidFill>
            <a:ln>
              <a:solidFill>
                <a:schemeClr val="bg1">
                  <a:lumMod val="50000"/>
                </a:schemeClr>
              </a:solidFill>
            </a:ln>
            <a:effectLst/>
          </c:spPr>
          <c:val>
            <c:numRef>
              <c:f>Calc!$U$14:$AO$14</c:f>
              <c:numCache>
                <c:formatCode>General</c:formatCode>
                <c:ptCount val="21"/>
                <c:pt idx="8">
                  <c:v>0</c:v>
                </c:pt>
                <c:pt idx="9">
                  <c:v>0</c:v>
                </c:pt>
                <c:pt idx="11">
                  <c:v>0</c:v>
                </c:pt>
                <c:pt idx="12">
                  <c:v>0</c:v>
                </c:pt>
              </c:numCache>
            </c:numRef>
          </c:val>
        </c:ser>
        <c:ser>
          <c:idx val="20"/>
          <c:order val="19"/>
          <c:tx>
            <c:v>unclosed_pathway</c:v>
          </c:tx>
          <c:spPr>
            <a:solidFill>
              <a:schemeClr val="bg1"/>
            </a:solidFill>
            <a:ln>
              <a:solidFill>
                <a:schemeClr val="bg1">
                  <a:lumMod val="50000"/>
                </a:schemeClr>
              </a:solidFill>
            </a:ln>
            <a:effectLst/>
          </c:spPr>
          <c:val>
            <c:numRef>
              <c:f>Calc!$U$35:$AO$35</c:f>
              <c:numCache>
                <c:formatCode>General</c:formatCode>
                <c:ptCount val="21"/>
                <c:pt idx="9">
                  <c:v>5.5</c:v>
                </c:pt>
                <c:pt idx="10">
                  <c:v>5.5</c:v>
                </c:pt>
                <c:pt idx="11">
                  <c:v>5.5</c:v>
                </c:pt>
              </c:numCache>
            </c:numRef>
          </c:val>
        </c:ser>
        <c:ser>
          <c:idx val="19"/>
          <c:order val="20"/>
          <c:tx>
            <c:v>9_L_BG</c:v>
          </c:tx>
          <c:spPr>
            <a:solidFill>
              <a:schemeClr val="tx1">
                <a:lumMod val="75000"/>
                <a:lumOff val="25000"/>
              </a:schemeClr>
            </a:solidFill>
            <a:ln>
              <a:noFill/>
            </a:ln>
            <a:effectLst/>
          </c:spPr>
          <c:val>
            <c:numRef>
              <c:f>Calc!$U$34:$AO$34</c:f>
              <c:numCache>
                <c:formatCode>General</c:formatCode>
                <c:ptCount val="21"/>
                <c:pt idx="8">
                  <c:v>6</c:v>
                </c:pt>
                <c:pt idx="9">
                  <c:v>6</c:v>
                </c:pt>
                <c:pt idx="10">
                  <c:v>6</c:v>
                </c:pt>
                <c:pt idx="11">
                  <c:v>6</c:v>
                </c:pt>
                <c:pt idx="12">
                  <c:v>6</c:v>
                </c:pt>
              </c:numCache>
            </c:numRef>
          </c:val>
        </c:ser>
        <c:ser>
          <c:idx val="18"/>
          <c:order val="21"/>
          <c:tx>
            <c:v>8_L_BG</c:v>
          </c:tx>
          <c:spPr>
            <a:solidFill>
              <a:schemeClr val="accent3">
                <a:lumMod val="50000"/>
              </a:schemeClr>
            </a:solidFill>
            <a:ln>
              <a:solidFill>
                <a:schemeClr val="bg1">
                  <a:lumMod val="50000"/>
                </a:schemeClr>
              </a:solidFill>
            </a:ln>
            <a:effectLst/>
          </c:spPr>
          <c:val>
            <c:numRef>
              <c:f>Calc!$U$33:$AO$33</c:f>
              <c:numCache>
                <c:formatCode>General</c:formatCode>
                <c:ptCount val="21"/>
                <c:pt idx="7">
                  <c:v>6.5</c:v>
                </c:pt>
                <c:pt idx="8">
                  <c:v>6.5</c:v>
                </c:pt>
                <c:pt idx="9">
                  <c:v>6.5</c:v>
                </c:pt>
                <c:pt idx="10">
                  <c:v>6.5</c:v>
                </c:pt>
                <c:pt idx="11">
                  <c:v>6.5</c:v>
                </c:pt>
                <c:pt idx="12">
                  <c:v>6.5</c:v>
                </c:pt>
                <c:pt idx="13">
                  <c:v>6.5</c:v>
                </c:pt>
              </c:numCache>
            </c:numRef>
          </c:val>
        </c:ser>
        <c:ser>
          <c:idx val="17"/>
          <c:order val="22"/>
          <c:tx>
            <c:v>7_L_BG</c:v>
          </c:tx>
          <c:spPr>
            <a:solidFill>
              <a:schemeClr val="bg1">
                <a:lumMod val="65000"/>
              </a:schemeClr>
            </a:solidFill>
            <a:ln>
              <a:solidFill>
                <a:schemeClr val="bg1">
                  <a:lumMod val="50000"/>
                </a:schemeClr>
              </a:solidFill>
            </a:ln>
            <a:effectLst/>
          </c:spPr>
          <c:val>
            <c:numRef>
              <c:f>Calc!$U$32:$AO$32</c:f>
              <c:numCache>
                <c:formatCode>General</c:formatCode>
                <c:ptCount val="21"/>
                <c:pt idx="6">
                  <c:v>7</c:v>
                </c:pt>
                <c:pt idx="7">
                  <c:v>7</c:v>
                </c:pt>
                <c:pt idx="8">
                  <c:v>7</c:v>
                </c:pt>
                <c:pt idx="9">
                  <c:v>7</c:v>
                </c:pt>
                <c:pt idx="10">
                  <c:v>7</c:v>
                </c:pt>
                <c:pt idx="11">
                  <c:v>7</c:v>
                </c:pt>
                <c:pt idx="12">
                  <c:v>7</c:v>
                </c:pt>
                <c:pt idx="13">
                  <c:v>7</c:v>
                </c:pt>
                <c:pt idx="14">
                  <c:v>7</c:v>
                </c:pt>
              </c:numCache>
            </c:numRef>
          </c:val>
        </c:ser>
        <c:ser>
          <c:idx val="16"/>
          <c:order val="23"/>
          <c:tx>
            <c:v>6_L_BG</c:v>
          </c:tx>
          <c:spPr>
            <a:solidFill>
              <a:schemeClr val="bg1">
                <a:lumMod val="65000"/>
              </a:schemeClr>
            </a:solidFill>
            <a:ln>
              <a:solidFill>
                <a:schemeClr val="bg1">
                  <a:lumMod val="50000"/>
                </a:schemeClr>
              </a:solidFill>
            </a:ln>
            <a:effectLst/>
          </c:spPr>
          <c:val>
            <c:numRef>
              <c:f>Calc!$U$31:$AO$31</c:f>
              <c:numCache>
                <c:formatCode>General</c:formatCode>
                <c:ptCount val="21"/>
                <c:pt idx="5">
                  <c:v>7.5</c:v>
                </c:pt>
                <c:pt idx="6">
                  <c:v>7.5</c:v>
                </c:pt>
                <c:pt idx="7">
                  <c:v>7.5</c:v>
                </c:pt>
                <c:pt idx="8">
                  <c:v>7.5</c:v>
                </c:pt>
                <c:pt idx="9">
                  <c:v>7.5</c:v>
                </c:pt>
                <c:pt idx="10">
                  <c:v>7.5</c:v>
                </c:pt>
                <c:pt idx="11">
                  <c:v>7.5</c:v>
                </c:pt>
                <c:pt idx="12">
                  <c:v>7.5</c:v>
                </c:pt>
                <c:pt idx="13">
                  <c:v>7.5</c:v>
                </c:pt>
                <c:pt idx="14">
                  <c:v>7.5</c:v>
                </c:pt>
                <c:pt idx="15">
                  <c:v>7.5</c:v>
                </c:pt>
              </c:numCache>
            </c:numRef>
          </c:val>
        </c:ser>
        <c:ser>
          <c:idx val="15"/>
          <c:order val="24"/>
          <c:tx>
            <c:v>5_L_BG</c:v>
          </c:tx>
          <c:spPr>
            <a:solidFill>
              <a:schemeClr val="bg1">
                <a:lumMod val="65000"/>
              </a:schemeClr>
            </a:solidFill>
            <a:ln>
              <a:solidFill>
                <a:schemeClr val="bg1">
                  <a:lumMod val="50000"/>
                </a:schemeClr>
              </a:solidFill>
            </a:ln>
            <a:effectLst/>
          </c:spPr>
          <c:val>
            <c:numRef>
              <c:f>Calc!$U$30:$AO$30</c:f>
              <c:numCache>
                <c:formatCode>General</c:formatCode>
                <c:ptCount val="21"/>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er>
        <c:ser>
          <c:idx val="14"/>
          <c:order val="25"/>
          <c:tx>
            <c:v>4_L_BG</c:v>
          </c:tx>
          <c:spPr>
            <a:solidFill>
              <a:schemeClr val="bg1">
                <a:lumMod val="75000"/>
              </a:schemeClr>
            </a:solidFill>
            <a:ln>
              <a:solidFill>
                <a:schemeClr val="bg1">
                  <a:lumMod val="50000"/>
                </a:schemeClr>
              </a:solidFill>
            </a:ln>
            <a:effectLst/>
          </c:spPr>
          <c:val>
            <c:numRef>
              <c:f>Calc!$U$29:$AO$29</c:f>
              <c:numCache>
                <c:formatCode>General</c:formatCode>
                <c:ptCount val="21"/>
                <c:pt idx="3">
                  <c:v>8.5</c:v>
                </c:pt>
                <c:pt idx="4">
                  <c:v>8.5</c:v>
                </c:pt>
                <c:pt idx="5">
                  <c:v>8.5</c:v>
                </c:pt>
                <c:pt idx="6">
                  <c:v>8.5</c:v>
                </c:pt>
                <c:pt idx="7">
                  <c:v>8.5</c:v>
                </c:pt>
                <c:pt idx="8">
                  <c:v>8.5</c:v>
                </c:pt>
                <c:pt idx="9">
                  <c:v>8.5</c:v>
                </c:pt>
                <c:pt idx="10">
                  <c:v>8.5</c:v>
                </c:pt>
                <c:pt idx="11">
                  <c:v>8.5</c:v>
                </c:pt>
                <c:pt idx="12">
                  <c:v>8.5</c:v>
                </c:pt>
                <c:pt idx="13">
                  <c:v>8.5</c:v>
                </c:pt>
                <c:pt idx="14">
                  <c:v>8.5</c:v>
                </c:pt>
                <c:pt idx="15">
                  <c:v>8.5</c:v>
                </c:pt>
                <c:pt idx="16">
                  <c:v>8.5</c:v>
                </c:pt>
                <c:pt idx="17">
                  <c:v>8.5</c:v>
                </c:pt>
              </c:numCache>
            </c:numRef>
          </c:val>
        </c:ser>
        <c:ser>
          <c:idx val="13"/>
          <c:order val="26"/>
          <c:tx>
            <c:v>3_L_BG</c:v>
          </c:tx>
          <c:spPr>
            <a:solidFill>
              <a:schemeClr val="bg1">
                <a:lumMod val="75000"/>
              </a:schemeClr>
            </a:solidFill>
            <a:ln w="9525">
              <a:solidFill>
                <a:schemeClr val="bg1">
                  <a:lumMod val="50000"/>
                </a:schemeClr>
              </a:solidFill>
            </a:ln>
            <a:effectLst/>
          </c:spPr>
          <c:val>
            <c:numRef>
              <c:f>Calc!$U$28:$AO$28</c:f>
              <c:numCache>
                <c:formatCode>General</c:formatCode>
                <c:ptCount val="21"/>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numCache>
            </c:numRef>
          </c:val>
        </c:ser>
        <c:ser>
          <c:idx val="12"/>
          <c:order val="27"/>
          <c:tx>
            <c:v>2_L_BG</c:v>
          </c:tx>
          <c:spPr>
            <a:solidFill>
              <a:schemeClr val="bg1">
                <a:lumMod val="75000"/>
              </a:schemeClr>
            </a:solidFill>
            <a:ln>
              <a:solidFill>
                <a:schemeClr val="bg1">
                  <a:lumMod val="50000"/>
                </a:schemeClr>
              </a:solidFill>
            </a:ln>
            <a:effectLst/>
          </c:spPr>
          <c:val>
            <c:numRef>
              <c:f>Calc!$U$27:$AO$27</c:f>
              <c:numCache>
                <c:formatCode>General</c:formatCode>
                <c:ptCount val="21"/>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er>
        <c:ser>
          <c:idx val="11"/>
          <c:order val="28"/>
          <c:tx>
            <c:v>1_L_BG</c:v>
          </c:tx>
          <c:spPr>
            <a:solidFill>
              <a:schemeClr val="bg1">
                <a:lumMod val="85000"/>
              </a:schemeClr>
            </a:solidFill>
            <a:ln>
              <a:noFill/>
            </a:ln>
            <a:effectLst/>
          </c:spPr>
          <c:val>
            <c:numRef>
              <c:f>Calc!$U$26:$AO$26</c:f>
              <c:numCache>
                <c:formatCode>General</c:formatCode>
                <c:ptCount val="21"/>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numCache>
            </c:numRef>
          </c:val>
        </c:ser>
        <c:ser>
          <c:idx val="10"/>
          <c:order val="29"/>
          <c:tx>
            <c:v>Floor</c:v>
          </c:tx>
          <c:spPr>
            <a:solidFill>
              <a:schemeClr val="bg1">
                <a:lumMod val="85000"/>
              </a:schemeClr>
            </a:solidFill>
            <a:ln w="3175">
              <a:solidFill>
                <a:schemeClr val="bg1">
                  <a:lumMod val="50000"/>
                </a:schemeClr>
              </a:solidFill>
            </a:ln>
            <a:effectLst/>
          </c:spPr>
          <c:val>
            <c:numRef>
              <c:f>Calc!$U$24:$AO$24</c:f>
              <c:numCache>
                <c:formatCode>General</c:formatCode>
                <c:ptCount val="21"/>
                <c:pt idx="0">
                  <c:v>0</c:v>
                </c:pt>
                <c:pt idx="1">
                  <c:v>0</c:v>
                </c:pt>
                <c:pt idx="2">
                  <c:v>0</c:v>
                </c:pt>
                <c:pt idx="3">
                  <c:v>0</c:v>
                </c:pt>
                <c:pt idx="4">
                  <c:v>0</c:v>
                </c:pt>
                <c:pt idx="5">
                  <c:v>0</c:v>
                </c:pt>
                <c:pt idx="6">
                  <c:v>-6</c:v>
                </c:pt>
                <c:pt idx="7">
                  <c:v>-5</c:v>
                </c:pt>
                <c:pt idx="8">
                  <c:v>-4</c:v>
                </c:pt>
                <c:pt idx="9">
                  <c:v>-4</c:v>
                </c:pt>
                <c:pt idx="10">
                  <c:v>-4</c:v>
                </c:pt>
                <c:pt idx="11">
                  <c:v>-4</c:v>
                </c:pt>
                <c:pt idx="12">
                  <c:v>-4</c:v>
                </c:pt>
                <c:pt idx="13">
                  <c:v>-5</c:v>
                </c:pt>
                <c:pt idx="14">
                  <c:v>-6</c:v>
                </c:pt>
                <c:pt idx="15">
                  <c:v>0</c:v>
                </c:pt>
                <c:pt idx="16">
                  <c:v>0</c:v>
                </c:pt>
                <c:pt idx="17">
                  <c:v>0</c:v>
                </c:pt>
                <c:pt idx="18">
                  <c:v>0</c:v>
                </c:pt>
                <c:pt idx="19">
                  <c:v>0</c:v>
                </c:pt>
                <c:pt idx="20">
                  <c:v>0</c:v>
                </c:pt>
              </c:numCache>
            </c:numRef>
          </c:val>
        </c:ser>
        <c:dLbls>
          <c:showLegendKey val="0"/>
          <c:showVal val="0"/>
          <c:showCatName val="0"/>
          <c:showSerName val="0"/>
          <c:showPercent val="0"/>
          <c:showBubbleSize val="0"/>
        </c:dLbls>
        <c:axId val="321597824"/>
        <c:axId val="321599360"/>
      </c:areaChart>
      <c:catAx>
        <c:axId val="32159782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599360"/>
        <c:crosses val="autoZero"/>
        <c:auto val="1"/>
        <c:lblAlgn val="ctr"/>
        <c:lblOffset val="100"/>
        <c:noMultiLvlLbl val="0"/>
      </c:catAx>
      <c:valAx>
        <c:axId val="321599360"/>
        <c:scaling>
          <c:orientation val="minMax"/>
          <c:max val="10"/>
          <c:min val="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597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spPr>
            <a:solidFill>
              <a:schemeClr val="bg1">
                <a:lumMod val="85000"/>
              </a:schemeClr>
            </a:solidFill>
            <a:ln w="3175">
              <a:solidFill>
                <a:schemeClr val="bg1">
                  <a:lumMod val="50000"/>
                </a:schemeClr>
              </a:solidFill>
            </a:ln>
            <a:effectLst/>
          </c:spPr>
          <c:val>
            <c:numRef>
              <c:f>Sheet1!$R$11:$AA$11</c:f>
              <c:numCache>
                <c:formatCode>General</c:formatCode>
                <c:ptCount val="10"/>
                <c:pt idx="0">
                  <c:v>5</c:v>
                </c:pt>
                <c:pt idx="1">
                  <c:v>4.5</c:v>
                </c:pt>
                <c:pt idx="8">
                  <c:v>4.5</c:v>
                </c:pt>
                <c:pt idx="9">
                  <c:v>5</c:v>
                </c:pt>
              </c:numCache>
            </c:numRef>
          </c:val>
        </c:ser>
        <c:ser>
          <c:idx val="1"/>
          <c:order val="1"/>
          <c:spPr>
            <a:solidFill>
              <a:schemeClr val="bg1">
                <a:lumMod val="75000"/>
              </a:schemeClr>
            </a:solidFill>
            <a:ln w="3175">
              <a:solidFill>
                <a:schemeClr val="bg1">
                  <a:lumMod val="50000"/>
                </a:schemeClr>
              </a:solidFill>
            </a:ln>
            <a:effectLst/>
          </c:spPr>
          <c:val>
            <c:numRef>
              <c:f>Sheet1!$R$12:$AA$12</c:f>
              <c:numCache>
                <c:formatCode>General</c:formatCode>
                <c:ptCount val="10"/>
                <c:pt idx="1">
                  <c:v>4.5</c:v>
                </c:pt>
                <c:pt idx="2">
                  <c:v>4</c:v>
                </c:pt>
              </c:numCache>
            </c:numRef>
          </c:val>
        </c:ser>
        <c:ser>
          <c:idx val="2"/>
          <c:order val="2"/>
          <c:spPr>
            <a:solidFill>
              <a:schemeClr val="bg1">
                <a:lumMod val="65000"/>
              </a:schemeClr>
            </a:solidFill>
            <a:ln w="3175">
              <a:solidFill>
                <a:schemeClr val="bg1">
                  <a:lumMod val="50000"/>
                </a:schemeClr>
              </a:solidFill>
            </a:ln>
            <a:effectLst/>
          </c:spPr>
          <c:val>
            <c:numRef>
              <c:f>Sheet1!$R$13:$AA$13</c:f>
              <c:numCache>
                <c:formatCode>General</c:formatCode>
                <c:ptCount val="10"/>
                <c:pt idx="2">
                  <c:v>4</c:v>
                </c:pt>
                <c:pt idx="3">
                  <c:v>3.5</c:v>
                </c:pt>
                <c:pt idx="6">
                  <c:v>3.5</c:v>
                </c:pt>
                <c:pt idx="7">
                  <c:v>4</c:v>
                </c:pt>
              </c:numCache>
            </c:numRef>
          </c:val>
        </c:ser>
        <c:ser>
          <c:idx val="3"/>
          <c:order val="3"/>
          <c:spPr>
            <a:solidFill>
              <a:schemeClr val="bg1">
                <a:lumMod val="50000"/>
              </a:schemeClr>
            </a:solidFill>
            <a:ln w="3175">
              <a:solidFill>
                <a:schemeClr val="bg1">
                  <a:lumMod val="50000"/>
                </a:schemeClr>
              </a:solidFill>
            </a:ln>
            <a:effectLst/>
          </c:spPr>
          <c:val>
            <c:numRef>
              <c:f>Sheet1!$R$14:$AA$14</c:f>
              <c:numCache>
                <c:formatCode>General</c:formatCode>
                <c:ptCount val="10"/>
                <c:pt idx="3">
                  <c:v>3.5</c:v>
                </c:pt>
                <c:pt idx="4">
                  <c:v>3</c:v>
                </c:pt>
                <c:pt idx="5">
                  <c:v>3</c:v>
                </c:pt>
                <c:pt idx="6">
                  <c:v>3.5</c:v>
                </c:pt>
              </c:numCache>
            </c:numRef>
          </c:val>
        </c:ser>
        <c:ser>
          <c:idx val="5"/>
          <c:order val="4"/>
          <c:spPr>
            <a:solidFill>
              <a:schemeClr val="tx1">
                <a:lumMod val="75000"/>
                <a:lumOff val="25000"/>
              </a:schemeClr>
            </a:solidFill>
            <a:ln w="3175">
              <a:solidFill>
                <a:schemeClr val="bg1">
                  <a:lumMod val="50000"/>
                </a:schemeClr>
              </a:solidFill>
            </a:ln>
            <a:effectLst/>
          </c:spPr>
          <c:val>
            <c:numRef>
              <c:f>Sheet1!$R$16:$AA$16</c:f>
              <c:numCache>
                <c:formatCode>General</c:formatCode>
                <c:ptCount val="10"/>
                <c:pt idx="4">
                  <c:v>3</c:v>
                </c:pt>
                <c:pt idx="5">
                  <c:v>3</c:v>
                </c:pt>
              </c:numCache>
            </c:numRef>
          </c:val>
        </c:ser>
        <c:ser>
          <c:idx val="4"/>
          <c:order val="5"/>
          <c:spPr>
            <a:solidFill>
              <a:schemeClr val="bg1"/>
            </a:solidFill>
            <a:ln w="6350">
              <a:solidFill>
                <a:schemeClr val="bg1">
                  <a:lumMod val="50000"/>
                </a:schemeClr>
              </a:solidFill>
            </a:ln>
            <a:effectLst/>
          </c:spPr>
          <c:val>
            <c:numRef>
              <c:f>Sheet1!$R$15:$AA$15</c:f>
              <c:numCache>
                <c:formatCode>General</c:formatCode>
                <c:ptCount val="10"/>
                <c:pt idx="0">
                  <c:v>0</c:v>
                </c:pt>
                <c:pt idx="1">
                  <c:v>0</c:v>
                </c:pt>
                <c:pt idx="2">
                  <c:v>0</c:v>
                </c:pt>
                <c:pt idx="3">
                  <c:v>0.5</c:v>
                </c:pt>
                <c:pt idx="4">
                  <c:v>1</c:v>
                </c:pt>
                <c:pt idx="5">
                  <c:v>1</c:v>
                </c:pt>
                <c:pt idx="6">
                  <c:v>0.5</c:v>
                </c:pt>
                <c:pt idx="7">
                  <c:v>0</c:v>
                </c:pt>
                <c:pt idx="8">
                  <c:v>0</c:v>
                </c:pt>
                <c:pt idx="9">
                  <c:v>0</c:v>
                </c:pt>
              </c:numCache>
            </c:numRef>
          </c:val>
        </c:ser>
        <c:dLbls>
          <c:showLegendKey val="0"/>
          <c:showVal val="0"/>
          <c:showCatName val="0"/>
          <c:showSerName val="0"/>
          <c:showPercent val="0"/>
          <c:showBubbleSize val="0"/>
        </c:dLbls>
        <c:axId val="322243968"/>
        <c:axId val="322262144"/>
      </c:areaChart>
      <c:catAx>
        <c:axId val="32224396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262144"/>
        <c:crosses val="autoZero"/>
        <c:auto val="1"/>
        <c:lblAlgn val="ctr"/>
        <c:lblOffset val="100"/>
        <c:noMultiLvlLbl val="0"/>
      </c:catAx>
      <c:valAx>
        <c:axId val="322262144"/>
        <c:scaling>
          <c:orientation val="minMax"/>
          <c:max val="5"/>
          <c:min val="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2439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optionexplicitvba.wordpress.com" TargetMode="External"/><Relationship Id="rId2" Type="http://schemas.openxmlformats.org/officeDocument/2006/relationships/image" Target="../media/image1.emf"/><Relationship Id="rId1" Type="http://schemas.openxmlformats.org/officeDocument/2006/relationships/chart" Target="../charts/chart1.xml"/><Relationship Id="rId4" Type="http://schemas.openxmlformats.org/officeDocument/2006/relationships/hyperlink" Target="http://www.carywalkin.ca"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0</xdr:colOff>
      <xdr:row>25</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413808</xdr:colOff>
      <xdr:row>3</xdr:row>
      <xdr:rowOff>0</xdr:rowOff>
    </xdr:from>
    <xdr:to>
      <xdr:col>23</xdr:col>
      <xdr:colOff>209550</xdr:colOff>
      <xdr:row>4</xdr:row>
      <xdr:rowOff>161925</xdr:rowOff>
    </xdr:to>
    <xdr:sp macro="[0]!Game.Forward" textlink="">
      <xdr:nvSpPr>
        <xdr:cNvPr id="3" name="ForwardButton"/>
        <xdr:cNvSpPr/>
      </xdr:nvSpPr>
      <xdr:spPr>
        <a:xfrm>
          <a:off x="9691158" y="571500"/>
          <a:ext cx="405342" cy="352425"/>
        </a:xfrm>
        <a:prstGeom prst="upArrow">
          <a:avLst>
            <a:gd name="adj1" fmla="val 50000"/>
            <a:gd name="adj2" fmla="val 10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22</xdr:col>
      <xdr:colOff>413808</xdr:colOff>
      <xdr:row>7</xdr:row>
      <xdr:rowOff>19050</xdr:rowOff>
    </xdr:from>
    <xdr:to>
      <xdr:col>23</xdr:col>
      <xdr:colOff>209550</xdr:colOff>
      <xdr:row>8</xdr:row>
      <xdr:rowOff>185166</xdr:rowOff>
    </xdr:to>
    <xdr:sp macro="[0]!Game.Backward" textlink="">
      <xdr:nvSpPr>
        <xdr:cNvPr id="4" name="BackwardButton"/>
        <xdr:cNvSpPr/>
      </xdr:nvSpPr>
      <xdr:spPr>
        <a:xfrm rot="10800000">
          <a:off x="9691158" y="1352550"/>
          <a:ext cx="405342" cy="356616"/>
        </a:xfrm>
        <a:prstGeom prst="upArrow">
          <a:avLst>
            <a:gd name="adj1" fmla="val 50000"/>
            <a:gd name="adj2" fmla="val 10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23</xdr:col>
      <xdr:colOff>276225</xdr:colOff>
      <xdr:row>4</xdr:row>
      <xdr:rowOff>180975</xdr:rowOff>
    </xdr:from>
    <xdr:to>
      <xdr:col>24</xdr:col>
      <xdr:colOff>23241</xdr:colOff>
      <xdr:row>7</xdr:row>
      <xdr:rowOff>11811</xdr:rowOff>
    </xdr:to>
    <xdr:sp macro="[0]!Game.TurnRight" textlink="">
      <xdr:nvSpPr>
        <xdr:cNvPr id="5" name="RightButton"/>
        <xdr:cNvSpPr/>
      </xdr:nvSpPr>
      <xdr:spPr>
        <a:xfrm rot="5400000">
          <a:off x="10140315" y="965835"/>
          <a:ext cx="402336" cy="356616"/>
        </a:xfrm>
        <a:prstGeom prst="upArrow">
          <a:avLst>
            <a:gd name="adj1" fmla="val 50000"/>
            <a:gd name="adj2" fmla="val 10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22</xdr:col>
      <xdr:colOff>1</xdr:colOff>
      <xdr:row>4</xdr:row>
      <xdr:rowOff>180975</xdr:rowOff>
    </xdr:from>
    <xdr:to>
      <xdr:col>22</xdr:col>
      <xdr:colOff>356617</xdr:colOff>
      <xdr:row>7</xdr:row>
      <xdr:rowOff>19050</xdr:rowOff>
    </xdr:to>
    <xdr:sp macro="[0]!Game.TurnLeft" textlink="">
      <xdr:nvSpPr>
        <xdr:cNvPr id="6" name="LeftButton"/>
        <xdr:cNvSpPr/>
      </xdr:nvSpPr>
      <xdr:spPr>
        <a:xfrm rot="16200000">
          <a:off x="9250871" y="969455"/>
          <a:ext cx="409575" cy="356616"/>
        </a:xfrm>
        <a:prstGeom prst="upArrow">
          <a:avLst>
            <a:gd name="adj1" fmla="val 50000"/>
            <a:gd name="adj2" fmla="val 10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mc:AlternateContent xmlns:mc="http://schemas.openxmlformats.org/markup-compatibility/2006">
    <mc:Choice xmlns:a14="http://schemas.microsoft.com/office/drawing/2010/main" Requires="a14">
      <xdr:twoCellAnchor editAs="oneCell">
        <xdr:from>
          <xdr:col>21</xdr:col>
          <xdr:colOff>19050</xdr:colOff>
          <xdr:row>12</xdr:row>
          <xdr:rowOff>190499</xdr:rowOff>
        </xdr:from>
        <xdr:to>
          <xdr:col>25</xdr:col>
          <xdr:colOff>19050</xdr:colOff>
          <xdr:row>25</xdr:row>
          <xdr:rowOff>0</xdr:rowOff>
        </xdr:to>
        <xdr:pic>
          <xdr:nvPicPr>
            <xdr:cNvPr id="7" name="Picture 6"/>
            <xdr:cNvPicPr>
              <a:picLocks noChangeAspect="1" noChangeArrowheads="1"/>
              <a:extLst>
                <a:ext uri="{84589F7E-364E-4C9E-8A38-B11213B215E9}">
                  <a14:cameraTool cellRange="Map!$D$4:$AG$33" spid="_x0000_s2104"/>
                </a:ext>
              </a:extLst>
            </xdr:cNvPicPr>
          </xdr:nvPicPr>
          <xdr:blipFill>
            <a:blip xmlns:r="http://schemas.openxmlformats.org/officeDocument/2006/relationships" r:embed="rId2"/>
            <a:srcRect/>
            <a:stretch>
              <a:fillRect/>
            </a:stretch>
          </xdr:blipFill>
          <xdr:spPr bwMode="auto">
            <a:xfrm>
              <a:off x="8686800" y="2476499"/>
              <a:ext cx="2438400" cy="2286001"/>
            </a:xfrm>
            <a:prstGeom prst="rect">
              <a:avLst/>
            </a:prstGeom>
            <a:noFill/>
            <a:ln>
              <a:noFill/>
            </a:ln>
          </xdr:spPr>
        </xdr:pic>
        <xdr:clientData/>
      </xdr:twoCellAnchor>
    </mc:Choice>
    <mc:Fallback/>
  </mc:AlternateContent>
  <xdr:twoCellAnchor>
    <xdr:from>
      <xdr:col>20</xdr:col>
      <xdr:colOff>123825</xdr:colOff>
      <xdr:row>0</xdr:row>
      <xdr:rowOff>95250</xdr:rowOff>
    </xdr:from>
    <xdr:to>
      <xdr:col>22</xdr:col>
      <xdr:colOff>231775</xdr:colOff>
      <xdr:row>1</xdr:row>
      <xdr:rowOff>111919</xdr:rowOff>
    </xdr:to>
    <xdr:sp macro="[0]!Game.StartOver" textlink="">
      <xdr:nvSpPr>
        <xdr:cNvPr id="8" name="Rectangle 7"/>
        <xdr:cNvSpPr/>
      </xdr:nvSpPr>
      <xdr:spPr>
        <a:xfrm>
          <a:off x="8543925" y="95250"/>
          <a:ext cx="965200" cy="207169"/>
        </a:xfrm>
        <a:prstGeom prst="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cap="small" baseline="0">
              <a:solidFill>
                <a:schemeClr val="bg1"/>
              </a:solidFill>
              <a:effectLst/>
              <a:latin typeface="Segoe UI Semibold" panose="020B0702040204020203" pitchFamily="34" charset="0"/>
              <a:ea typeface="Segoe UI" panose="020B0502040204020203" pitchFamily="34" charset="0"/>
              <a:cs typeface="Arial" panose="020B0604020202020204" pitchFamily="34" charset="0"/>
            </a:rPr>
            <a:t>start over</a:t>
          </a:r>
        </a:p>
      </xdr:txBody>
    </xdr:sp>
    <xdr:clientData/>
  </xdr:twoCellAnchor>
  <xdr:twoCellAnchor>
    <xdr:from>
      <xdr:col>16</xdr:col>
      <xdr:colOff>11642</xdr:colOff>
      <xdr:row>1</xdr:row>
      <xdr:rowOff>91017</xdr:rowOff>
    </xdr:from>
    <xdr:to>
      <xdr:col>16</xdr:col>
      <xdr:colOff>11642</xdr:colOff>
      <xdr:row>3</xdr:row>
      <xdr:rowOff>100542</xdr:rowOff>
    </xdr:to>
    <xdr:cxnSp macro="">
      <xdr:nvCxnSpPr>
        <xdr:cNvPr id="10" name="Straight Arrow Connector 9"/>
        <xdr:cNvCxnSpPr/>
      </xdr:nvCxnSpPr>
      <xdr:spPr>
        <a:xfrm flipV="1">
          <a:off x="5993342" y="281517"/>
          <a:ext cx="0" cy="3905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51859</xdr:colOff>
      <xdr:row>3</xdr:row>
      <xdr:rowOff>104775</xdr:rowOff>
    </xdr:from>
    <xdr:to>
      <xdr:col>17</xdr:col>
      <xdr:colOff>0</xdr:colOff>
      <xdr:row>5</xdr:row>
      <xdr:rowOff>0</xdr:rowOff>
    </xdr:to>
    <xdr:sp macro="" textlink="Calc.Direction">
      <xdr:nvSpPr>
        <xdr:cNvPr id="11" name="TextBox 10"/>
        <xdr:cNvSpPr txBox="1"/>
      </xdr:nvSpPr>
      <xdr:spPr>
        <a:xfrm>
          <a:off x="5423959" y="676275"/>
          <a:ext cx="116734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B193DCC-024B-46EE-AD89-73D06B6B0A38}" type="TxLink">
            <a:rPr lang="en-US" sz="1100" b="1" i="0" u="none" strike="noStrike" cap="all" baseline="0">
              <a:solidFill>
                <a:srgbClr val="000000"/>
              </a:solidFill>
              <a:latin typeface="Calibri"/>
            </a:rPr>
            <a:pPr algn="ctr"/>
            <a:t>East</a:t>
          </a:fld>
          <a:endParaRPr lang="en-US" sz="1100" cap="all" baseline="0"/>
        </a:p>
      </xdr:txBody>
    </xdr:sp>
    <xdr:clientData/>
  </xdr:twoCellAnchor>
  <xdr:twoCellAnchor>
    <xdr:from>
      <xdr:col>22</xdr:col>
      <xdr:colOff>400050</xdr:colOff>
      <xdr:row>5</xdr:row>
      <xdr:rowOff>47623</xdr:rowOff>
    </xdr:from>
    <xdr:to>
      <xdr:col>23</xdr:col>
      <xdr:colOff>190500</xdr:colOff>
      <xdr:row>6</xdr:row>
      <xdr:rowOff>101198</xdr:rowOff>
    </xdr:to>
    <xdr:sp macro="[0]!Game.TurnAround" textlink="">
      <xdr:nvSpPr>
        <xdr:cNvPr id="14" name="Curved Up Arrow 13"/>
        <xdr:cNvSpPr/>
      </xdr:nvSpPr>
      <xdr:spPr>
        <a:xfrm rot="10800000">
          <a:off x="9677400" y="1000123"/>
          <a:ext cx="400050" cy="244075"/>
        </a:xfrm>
        <a:prstGeom prst="curvedUpArrow">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0</xdr:col>
      <xdr:colOff>0</xdr:colOff>
      <xdr:row>0</xdr:row>
      <xdr:rowOff>9523</xdr:rowOff>
    </xdr:from>
    <xdr:to>
      <xdr:col>13</xdr:col>
      <xdr:colOff>0</xdr:colOff>
      <xdr:row>2</xdr:row>
      <xdr:rowOff>114300</xdr:rowOff>
    </xdr:to>
    <xdr:sp macro="" textlink="">
      <xdr:nvSpPr>
        <xdr:cNvPr id="12" name="TextBox 11">
          <a:hlinkClick xmlns:r="http://schemas.openxmlformats.org/officeDocument/2006/relationships" r:id="rId3"/>
        </xdr:cNvPr>
        <xdr:cNvSpPr txBox="1"/>
      </xdr:nvSpPr>
      <xdr:spPr>
        <a:xfrm>
          <a:off x="0" y="9523"/>
          <a:ext cx="4152900" cy="485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Developed by Jordan Goldmeier</a:t>
          </a:r>
          <a:r>
            <a:rPr lang="en-US" sz="1000" baseline="0"/>
            <a:t> for the </a:t>
          </a:r>
          <a:r>
            <a:rPr lang="en-US" sz="1000" b="1" baseline="0"/>
            <a:t>Option Explicit VBA blog </a:t>
          </a:r>
          <a:r>
            <a:rPr lang="en-US" sz="1000" b="0" u="sng" baseline="0"/>
            <a:t>http://</a:t>
          </a:r>
          <a:r>
            <a:rPr lang="en-US" sz="1000" u="sng" baseline="0"/>
            <a:t>OptionExplicitVBA.Wordpress.com</a:t>
          </a:r>
        </a:p>
        <a:p>
          <a:endParaRPr lang="en-US" sz="1000"/>
        </a:p>
        <a:p>
          <a:endParaRPr lang="en-US" sz="1000"/>
        </a:p>
      </xdr:txBody>
    </xdr:sp>
    <xdr:clientData/>
  </xdr:twoCellAnchor>
  <xdr:twoCellAnchor>
    <xdr:from>
      <xdr:col>0</xdr:col>
      <xdr:colOff>0</xdr:colOff>
      <xdr:row>2</xdr:row>
      <xdr:rowOff>76200</xdr:rowOff>
    </xdr:from>
    <xdr:to>
      <xdr:col>9</xdr:col>
      <xdr:colOff>104775</xdr:colOff>
      <xdr:row>4</xdr:row>
      <xdr:rowOff>104775</xdr:rowOff>
    </xdr:to>
    <xdr:sp macro="" textlink="">
      <xdr:nvSpPr>
        <xdr:cNvPr id="13" name="TextBox 12">
          <a:hlinkClick xmlns:r="http://schemas.openxmlformats.org/officeDocument/2006/relationships" r:id="rId4"/>
        </xdr:cNvPr>
        <xdr:cNvSpPr txBox="1"/>
      </xdr:nvSpPr>
      <xdr:spPr>
        <a:xfrm>
          <a:off x="0" y="457200"/>
          <a:ext cx="30765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aseline="0">
              <a:solidFill>
                <a:schemeClr val="dk1"/>
              </a:solidFill>
              <a:effectLst/>
              <a:latin typeface="+mn-lt"/>
              <a:ea typeface="+mn-ea"/>
              <a:cs typeface="+mn-cs"/>
            </a:rPr>
            <a:t>In conjunction with </a:t>
          </a:r>
          <a:r>
            <a:rPr lang="en-US" sz="1000" b="1" baseline="0">
              <a:solidFill>
                <a:schemeClr val="dk1"/>
              </a:solidFill>
              <a:effectLst/>
              <a:latin typeface="+mn-lt"/>
              <a:ea typeface="+mn-ea"/>
              <a:cs typeface="+mn-cs"/>
            </a:rPr>
            <a:t>Cary Walkin's blog </a:t>
          </a:r>
          <a:endParaRPr lang="en-US" sz="1000">
            <a:effectLst/>
          </a:endParaRPr>
        </a:p>
        <a:p>
          <a:r>
            <a:rPr lang="en-US" sz="1000" u="sng" baseline="0">
              <a:solidFill>
                <a:schemeClr val="dk1"/>
              </a:solidFill>
              <a:effectLst/>
              <a:latin typeface="+mn-lt"/>
              <a:ea typeface="+mn-ea"/>
              <a:cs typeface="+mn-cs"/>
            </a:rPr>
            <a:t>http://www.CaryWalkin.ca.</a:t>
          </a:r>
          <a:endParaRPr lang="en-US" sz="1000">
            <a:effectLst/>
          </a:endParaRPr>
        </a:p>
        <a:p>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137584</xdr:colOff>
      <xdr:row>0</xdr:row>
      <xdr:rowOff>222251</xdr:rowOff>
    </xdr:from>
    <xdr:to>
      <xdr:col>42</xdr:col>
      <xdr:colOff>31751</xdr:colOff>
      <xdr:row>8</xdr:row>
      <xdr:rowOff>63500</xdr:rowOff>
    </xdr:to>
    <xdr:sp macro="" textlink="">
      <xdr:nvSpPr>
        <xdr:cNvPr id="2" name="TextBox 1"/>
        <xdr:cNvSpPr txBox="1"/>
      </xdr:nvSpPr>
      <xdr:spPr>
        <a:xfrm>
          <a:off x="2550584" y="222251"/>
          <a:ext cx="3492500" cy="15769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You</a:t>
          </a:r>
          <a:r>
            <a:rPr lang="en-US" sz="1100" baseline="0"/>
            <a:t> can edit the game map below by manupulating the numbers in the grid </a:t>
          </a:r>
          <a:r>
            <a:rPr lang="en-US" sz="1100" b="1" baseline="0"/>
            <a:t>on the left</a:t>
          </a:r>
          <a:r>
            <a:rPr lang="en-US" sz="1100" baseline="0"/>
            <a:t>. (don't touch the ones below!) Each number in the left table represents a 3x3 tile from the key below the table. The only tiles you shouldn't change are (1,1) and (10,10). Those are placeholders for the beginning and end of the maze. In the future, I hope to allow the maze to start and end anywhere. Or, maybe you can do that if you're feeling ambitious.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42</xdr:col>
      <xdr:colOff>318072</xdr:colOff>
      <xdr:row>3</xdr:row>
      <xdr:rowOff>113961</xdr:rowOff>
    </xdr:from>
    <xdr:to>
      <xdr:col>52</xdr:col>
      <xdr:colOff>340180</xdr:colOff>
      <xdr:row>17</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628650</xdr:colOff>
      <xdr:row>24</xdr:row>
      <xdr:rowOff>0</xdr:rowOff>
    </xdr:from>
    <xdr:to>
      <xdr:col>5</xdr:col>
      <xdr:colOff>72118</xdr:colOff>
      <xdr:row>26</xdr:row>
      <xdr:rowOff>161925</xdr:rowOff>
    </xdr:to>
    <xdr:sp macro="[0]!Game.Forward" textlink="">
      <xdr:nvSpPr>
        <xdr:cNvPr id="4" name="ForwardButton"/>
        <xdr:cNvSpPr/>
      </xdr:nvSpPr>
      <xdr:spPr>
        <a:xfrm>
          <a:off x="2370364" y="4572000"/>
          <a:ext cx="409575" cy="54292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552450</xdr:colOff>
      <xdr:row>28</xdr:row>
      <xdr:rowOff>142875</xdr:rowOff>
    </xdr:from>
    <xdr:to>
      <xdr:col>4</xdr:col>
      <xdr:colOff>145596</xdr:colOff>
      <xdr:row>31</xdr:row>
      <xdr:rowOff>114300</xdr:rowOff>
    </xdr:to>
    <xdr:sp macro="[0]!Game.Backward" textlink="">
      <xdr:nvSpPr>
        <xdr:cNvPr id="5" name="BackwardButton"/>
        <xdr:cNvSpPr/>
      </xdr:nvSpPr>
      <xdr:spPr>
        <a:xfrm rot="10800000">
          <a:off x="2294164" y="5476875"/>
          <a:ext cx="409575" cy="54292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24492</xdr:colOff>
      <xdr:row>26</xdr:row>
      <xdr:rowOff>180975</xdr:rowOff>
    </xdr:from>
    <xdr:to>
      <xdr:col>7</xdr:col>
      <xdr:colOff>228599</xdr:colOff>
      <xdr:row>29</xdr:row>
      <xdr:rowOff>19050</xdr:rowOff>
    </xdr:to>
    <xdr:sp macro="[0]!Game.TurnRight" textlink="">
      <xdr:nvSpPr>
        <xdr:cNvPr id="6" name="RightButton"/>
        <xdr:cNvSpPr/>
      </xdr:nvSpPr>
      <xdr:spPr>
        <a:xfrm rot="5400000">
          <a:off x="2765650" y="5100638"/>
          <a:ext cx="409575" cy="47625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26</xdr:row>
      <xdr:rowOff>114300</xdr:rowOff>
    </xdr:from>
    <xdr:to>
      <xdr:col>3</xdr:col>
      <xdr:colOff>542925</xdr:colOff>
      <xdr:row>28</xdr:row>
      <xdr:rowOff>142875</xdr:rowOff>
    </xdr:to>
    <xdr:sp macro="[0]!Game.Forward" textlink="">
      <xdr:nvSpPr>
        <xdr:cNvPr id="7" name="LeftButton"/>
        <xdr:cNvSpPr/>
      </xdr:nvSpPr>
      <xdr:spPr>
        <a:xfrm rot="16200000">
          <a:off x="1808389" y="5000625"/>
          <a:ext cx="409575" cy="54292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71438</xdr:colOff>
      <xdr:row>3</xdr:row>
      <xdr:rowOff>59532</xdr:rowOff>
    </xdr:from>
    <xdr:to>
      <xdr:col>20</xdr:col>
      <xdr:colOff>500061</xdr:colOff>
      <xdr:row>24</xdr:row>
      <xdr:rowOff>163114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ame">
    <pageSetUpPr autoPageBreaks="0"/>
  </sheetPr>
  <dimension ref="A1:AR28"/>
  <sheetViews>
    <sheetView showRowColHeaders="0" tabSelected="1" zoomScaleNormal="100" zoomScaleSheetLayoutView="100" workbookViewId="0">
      <selection activeCell="Y2" sqref="Y2"/>
    </sheetView>
  </sheetViews>
  <sheetFormatPr defaultColWidth="0" defaultRowHeight="15" zeroHeight="1" x14ac:dyDescent="0.25"/>
  <cols>
    <col min="1" max="3" width="9.140625" style="25" customWidth="1"/>
    <col min="4" max="12" width="2.85546875" style="25" customWidth="1"/>
    <col min="13" max="20" width="9.140625" style="25" customWidth="1"/>
    <col min="21" max="21" width="3.7109375" style="25" customWidth="1"/>
    <col min="22" max="26" width="9.140625" customWidth="1"/>
    <col min="27" max="35" width="0" hidden="1" customWidth="1"/>
    <col min="36" max="44" width="3" hidden="1" customWidth="1"/>
    <col min="45" max="16384" width="9.140625" hidden="1"/>
  </cols>
  <sheetData>
    <row r="1" spans="1:44" x14ac:dyDescent="0.25">
      <c r="A1" s="2"/>
      <c r="B1" s="2" t="s">
        <v>24</v>
      </c>
      <c r="C1" s="2"/>
      <c r="D1" s="2"/>
      <c r="E1" s="2"/>
      <c r="F1" s="2"/>
      <c r="G1" s="2"/>
      <c r="H1" s="2"/>
      <c r="I1" s="2"/>
      <c r="J1" s="2"/>
      <c r="K1" s="2"/>
      <c r="L1" s="2"/>
      <c r="M1" s="2"/>
      <c r="N1" s="2"/>
      <c r="O1" s="2"/>
      <c r="P1" s="2"/>
      <c r="Q1" s="2"/>
      <c r="R1" s="2"/>
      <c r="S1" s="2"/>
      <c r="T1" s="2"/>
      <c r="U1" s="2"/>
      <c r="V1" s="2"/>
      <c r="W1" s="2"/>
      <c r="X1" s="3"/>
      <c r="Y1" s="3"/>
      <c r="Z1" s="3"/>
      <c r="AI1" t="s">
        <v>26</v>
      </c>
      <c r="AJ1">
        <v>1</v>
      </c>
    </row>
    <row r="2" spans="1:44" x14ac:dyDescent="0.25">
      <c r="A2" s="2"/>
      <c r="B2" s="55" t="s">
        <v>21</v>
      </c>
      <c r="C2" s="2"/>
      <c r="D2" s="2"/>
      <c r="E2" s="2"/>
      <c r="F2" s="2"/>
      <c r="G2" s="2"/>
      <c r="H2" s="2"/>
      <c r="I2" s="2"/>
      <c r="J2" s="2"/>
      <c r="K2" s="2"/>
      <c r="L2" s="2"/>
      <c r="M2" s="2"/>
      <c r="N2" s="2"/>
      <c r="O2" s="2"/>
      <c r="P2" s="2"/>
      <c r="Q2" s="2"/>
      <c r="R2" s="2"/>
      <c r="S2" s="2"/>
      <c r="T2" s="2"/>
      <c r="U2" s="2"/>
      <c r="V2" s="2"/>
      <c r="W2" s="2"/>
      <c r="X2" s="3"/>
      <c r="Y2" s="3"/>
      <c r="Z2" s="3"/>
      <c r="AI2" t="s">
        <v>21</v>
      </c>
      <c r="AJ2">
        <v>2</v>
      </c>
    </row>
    <row r="3" spans="1:44" x14ac:dyDescent="0.25">
      <c r="A3" s="2"/>
      <c r="B3" s="2"/>
      <c r="C3" s="2"/>
      <c r="D3" s="2"/>
      <c r="E3" s="2"/>
      <c r="F3" s="2"/>
      <c r="G3" s="2"/>
      <c r="H3" s="2"/>
      <c r="I3" s="2"/>
      <c r="J3" s="2"/>
      <c r="K3" s="2"/>
      <c r="L3" s="2"/>
      <c r="M3" s="2"/>
      <c r="N3" s="2"/>
      <c r="O3" s="2"/>
      <c r="P3" s="2"/>
      <c r="Q3" s="2"/>
      <c r="R3" s="2"/>
      <c r="S3" s="2"/>
      <c r="T3" s="2"/>
      <c r="U3" s="2"/>
      <c r="V3" s="2"/>
      <c r="W3" s="2"/>
      <c r="X3" s="3"/>
      <c r="Y3" s="3"/>
      <c r="Z3" s="3"/>
      <c r="AI3" t="s">
        <v>25</v>
      </c>
      <c r="AJ3">
        <v>3</v>
      </c>
    </row>
    <row r="4" spans="1:44" x14ac:dyDescent="0.25">
      <c r="A4" s="2"/>
      <c r="B4" s="2"/>
      <c r="C4" s="2"/>
      <c r="D4" s="2"/>
      <c r="E4" s="2"/>
      <c r="F4" s="2"/>
      <c r="G4" s="2"/>
      <c r="H4" s="2"/>
      <c r="I4" s="2"/>
      <c r="J4" s="2"/>
      <c r="K4" s="2"/>
      <c r="L4" s="2"/>
      <c r="M4" s="2"/>
      <c r="N4" s="2"/>
      <c r="O4" s="2"/>
      <c r="P4" s="2"/>
      <c r="Q4" s="2"/>
      <c r="R4" s="2"/>
      <c r="S4" s="2"/>
      <c r="T4" s="2"/>
      <c r="U4" s="2"/>
      <c r="V4" s="2"/>
      <c r="W4" s="2"/>
      <c r="X4" s="2"/>
      <c r="Y4" s="2"/>
      <c r="Z4" s="2"/>
      <c r="AI4" t="s">
        <v>27</v>
      </c>
      <c r="AJ4">
        <v>4</v>
      </c>
    </row>
    <row r="5" spans="1:44" x14ac:dyDescent="0.25">
      <c r="A5" s="2"/>
      <c r="B5" s="2"/>
      <c r="C5" s="2"/>
      <c r="D5" s="2"/>
      <c r="E5" s="2"/>
      <c r="F5" s="2"/>
      <c r="G5" s="2"/>
      <c r="H5" s="2"/>
      <c r="I5" s="2"/>
      <c r="J5" s="2"/>
      <c r="K5" s="2"/>
      <c r="L5" s="2"/>
      <c r="M5" s="2"/>
      <c r="N5" s="2"/>
      <c r="O5" s="2"/>
      <c r="P5" s="2"/>
      <c r="Q5" s="2"/>
      <c r="R5" s="2"/>
      <c r="S5" s="2"/>
      <c r="T5" s="2"/>
      <c r="U5" s="2"/>
      <c r="V5" s="2"/>
      <c r="W5" s="2"/>
      <c r="X5" s="2"/>
      <c r="Y5" s="2"/>
      <c r="Z5" s="2"/>
    </row>
    <row r="6" spans="1:44" x14ac:dyDescent="0.25">
      <c r="A6" s="2"/>
      <c r="B6" s="2"/>
      <c r="C6" s="2"/>
      <c r="D6" s="2"/>
      <c r="E6" s="2"/>
      <c r="F6" s="2"/>
      <c r="G6" s="2"/>
      <c r="H6" s="2"/>
      <c r="I6" s="2"/>
      <c r="J6" s="2"/>
      <c r="K6" s="2"/>
      <c r="L6" s="2"/>
      <c r="M6" s="2"/>
      <c r="N6" s="2"/>
      <c r="O6" s="2"/>
      <c r="P6" s="2"/>
      <c r="Q6" s="2"/>
      <c r="R6" s="2"/>
      <c r="S6" s="2"/>
      <c r="T6" s="2"/>
      <c r="U6" s="2"/>
      <c r="V6" s="2"/>
      <c r="W6" s="2"/>
      <c r="X6" s="2"/>
      <c r="Y6" s="2"/>
      <c r="Z6" s="2"/>
    </row>
    <row r="7" spans="1:44" x14ac:dyDescent="0.25">
      <c r="A7" s="2"/>
      <c r="B7" s="2"/>
      <c r="C7" s="2"/>
      <c r="D7" s="2"/>
      <c r="E7" s="2"/>
      <c r="F7" s="2"/>
      <c r="G7" s="2"/>
      <c r="H7" s="2"/>
      <c r="I7" s="2"/>
      <c r="J7" s="2"/>
      <c r="K7" s="2"/>
      <c r="L7" s="2"/>
      <c r="M7" s="2"/>
      <c r="N7" s="2"/>
      <c r="O7" s="2"/>
      <c r="P7" s="2"/>
      <c r="Q7" s="2"/>
      <c r="R7" s="2"/>
      <c r="S7" s="2"/>
      <c r="T7" s="2"/>
      <c r="U7" s="2"/>
      <c r="V7" s="2"/>
      <c r="W7" s="2"/>
      <c r="X7" s="2"/>
      <c r="Y7" s="2"/>
      <c r="Z7" s="2"/>
    </row>
    <row r="8" spans="1:44" x14ac:dyDescent="0.25">
      <c r="A8" s="2"/>
      <c r="B8" s="2"/>
      <c r="C8" s="2"/>
      <c r="D8" s="2"/>
      <c r="E8" s="2"/>
      <c r="F8" s="2"/>
      <c r="G8" s="2"/>
      <c r="H8" s="2"/>
      <c r="I8" s="2"/>
      <c r="J8" s="2"/>
      <c r="K8" s="2"/>
      <c r="L8" s="2"/>
      <c r="M8" s="2"/>
      <c r="N8" s="2"/>
      <c r="O8" s="2"/>
      <c r="P8" s="2"/>
      <c r="Q8" s="2"/>
      <c r="R8" s="2"/>
      <c r="S8" s="2"/>
      <c r="T8" s="2"/>
      <c r="U8" s="2"/>
      <c r="V8" s="2"/>
      <c r="W8" s="2"/>
      <c r="X8" s="2"/>
      <c r="Y8" s="2"/>
      <c r="Z8" s="2"/>
      <c r="AJ8">
        <v>4</v>
      </c>
      <c r="AK8">
        <v>3</v>
      </c>
      <c r="AL8">
        <v>2</v>
      </c>
      <c r="AM8">
        <v>1</v>
      </c>
      <c r="AN8">
        <v>0</v>
      </c>
      <c r="AO8">
        <v>-1</v>
      </c>
      <c r="AP8">
        <v>-2</v>
      </c>
      <c r="AQ8">
        <v>-3</v>
      </c>
      <c r="AR8">
        <v>-4</v>
      </c>
    </row>
    <row r="9" spans="1:44" x14ac:dyDescent="0.25">
      <c r="A9" s="2"/>
      <c r="B9" s="2"/>
      <c r="C9" s="2"/>
      <c r="D9" s="2"/>
      <c r="E9" s="2"/>
      <c r="F9" s="2"/>
      <c r="G9" s="2"/>
      <c r="H9" s="2"/>
      <c r="I9" s="2"/>
      <c r="J9" s="2"/>
      <c r="K9" s="2"/>
      <c r="L9" s="2"/>
      <c r="M9" s="2"/>
      <c r="N9" s="2"/>
      <c r="O9" s="2"/>
      <c r="P9" s="2"/>
      <c r="Q9" s="2"/>
      <c r="R9" s="2"/>
      <c r="S9" s="2"/>
      <c r="T9" s="2"/>
      <c r="U9" s="2"/>
      <c r="V9" s="2"/>
      <c r="W9" s="2"/>
      <c r="X9" s="2"/>
      <c r="Y9" s="2"/>
      <c r="Z9" s="3"/>
      <c r="AA9" s="4"/>
      <c r="AJ9" s="51">
        <f>Calc.Left-4</f>
        <v>20</v>
      </c>
      <c r="AK9" s="51">
        <f>AJ9+1</f>
        <v>21</v>
      </c>
      <c r="AL9" s="51">
        <f t="shared" ref="AL9:AR9" si="0">AK9+1</f>
        <v>22</v>
      </c>
      <c r="AM9" s="51">
        <f t="shared" si="0"/>
        <v>23</v>
      </c>
      <c r="AN9" s="51">
        <f t="shared" si="0"/>
        <v>24</v>
      </c>
      <c r="AO9" s="51">
        <f t="shared" si="0"/>
        <v>25</v>
      </c>
      <c r="AP9" s="51">
        <f t="shared" si="0"/>
        <v>26</v>
      </c>
      <c r="AQ9" s="51">
        <f t="shared" si="0"/>
        <v>27</v>
      </c>
      <c r="AR9" s="51">
        <f t="shared" si="0"/>
        <v>28</v>
      </c>
    </row>
    <row r="10" spans="1:44" x14ac:dyDescent="0.25">
      <c r="A10" s="2"/>
      <c r="B10" s="2"/>
      <c r="C10" s="2"/>
      <c r="D10" s="2"/>
      <c r="E10" s="2"/>
      <c r="F10" s="2"/>
      <c r="G10" s="2"/>
      <c r="H10" s="2"/>
      <c r="I10" s="2"/>
      <c r="J10" s="2"/>
      <c r="K10" s="2"/>
      <c r="L10" s="2"/>
      <c r="M10" s="2"/>
      <c r="N10" s="2"/>
      <c r="O10" s="2"/>
      <c r="P10" s="2"/>
      <c r="Q10" s="2"/>
      <c r="R10" s="2"/>
      <c r="S10" s="2"/>
      <c r="T10" s="2"/>
      <c r="U10" s="2"/>
      <c r="V10" s="2"/>
      <c r="W10" s="2"/>
      <c r="X10" s="2"/>
      <c r="Y10" s="2"/>
      <c r="Z10" s="3"/>
      <c r="AA10" s="4"/>
      <c r="AI10">
        <f>Calc.Top-4</f>
        <v>19</v>
      </c>
      <c r="AJ10" s="10">
        <f>IFERROR(INDEX(MazeMatrix,$AI10,AJ$9),1)</f>
        <v>1</v>
      </c>
      <c r="AK10" s="10">
        <f t="shared" ref="AJ10:AR18" si="1">IFERROR(INDEX(MazeMatrix,$AI10,AK$9),1)</f>
        <v>1</v>
      </c>
      <c r="AL10" s="10">
        <f t="shared" si="1"/>
        <v>1</v>
      </c>
      <c r="AM10" s="10">
        <f t="shared" si="1"/>
        <v>0</v>
      </c>
      <c r="AN10" s="10">
        <f t="shared" si="1"/>
        <v>1</v>
      </c>
      <c r="AO10" s="10">
        <f t="shared" si="1"/>
        <v>1</v>
      </c>
      <c r="AP10" s="10">
        <f t="shared" si="1"/>
        <v>1</v>
      </c>
      <c r="AQ10" s="10">
        <f t="shared" si="1"/>
        <v>1</v>
      </c>
      <c r="AR10" s="10">
        <f t="shared" si="1"/>
        <v>1</v>
      </c>
    </row>
    <row r="11" spans="1:44" x14ac:dyDescent="0.25">
      <c r="A11" s="2"/>
      <c r="B11" s="2"/>
      <c r="C11" s="2"/>
      <c r="D11" s="2"/>
      <c r="E11" s="2"/>
      <c r="F11" s="2"/>
      <c r="G11" s="2"/>
      <c r="H11" s="2"/>
      <c r="I11" s="2"/>
      <c r="J11" s="2"/>
      <c r="K11" s="2"/>
      <c r="L11" s="2"/>
      <c r="M11" s="2"/>
      <c r="N11" s="2"/>
      <c r="O11" s="2"/>
      <c r="P11" s="2"/>
      <c r="Q11" s="2"/>
      <c r="R11" s="2"/>
      <c r="S11" s="2"/>
      <c r="T11" s="2"/>
      <c r="U11" s="2"/>
      <c r="V11" s="2"/>
      <c r="W11" s="2"/>
      <c r="X11" s="2"/>
      <c r="Y11" s="2"/>
      <c r="Z11" s="3"/>
      <c r="AA11" s="4"/>
      <c r="AI11">
        <f>AI10+1</f>
        <v>20</v>
      </c>
      <c r="AJ11" s="10">
        <f t="shared" si="1"/>
        <v>0</v>
      </c>
      <c r="AK11" s="10">
        <f t="shared" si="1"/>
        <v>1</v>
      </c>
      <c r="AL11" s="10">
        <f t="shared" si="1"/>
        <v>1</v>
      </c>
      <c r="AM11" s="10">
        <f t="shared" si="1"/>
        <v>0</v>
      </c>
      <c r="AN11" s="10">
        <f t="shared" si="1"/>
        <v>1</v>
      </c>
      <c r="AO11" s="10">
        <f t="shared" si="1"/>
        <v>1</v>
      </c>
      <c r="AP11" s="10">
        <f t="shared" si="1"/>
        <v>0</v>
      </c>
      <c r="AQ11" s="10">
        <f t="shared" si="1"/>
        <v>0</v>
      </c>
      <c r="AR11" s="10">
        <f t="shared" si="1"/>
        <v>0</v>
      </c>
    </row>
    <row r="12" spans="1:44" x14ac:dyDescent="0.25">
      <c r="A12" s="2"/>
      <c r="B12" s="2"/>
      <c r="C12" s="2"/>
      <c r="D12" s="2"/>
      <c r="E12" s="2"/>
      <c r="F12" s="2"/>
      <c r="G12" s="2"/>
      <c r="H12" s="2"/>
      <c r="I12" s="2"/>
      <c r="J12" s="2"/>
      <c r="K12" s="2"/>
      <c r="L12" s="2"/>
      <c r="M12" s="2"/>
      <c r="N12" s="2"/>
      <c r="O12" s="2"/>
      <c r="P12" s="2"/>
      <c r="Q12" s="2"/>
      <c r="R12" s="2"/>
      <c r="S12" s="2"/>
      <c r="T12" s="2"/>
      <c r="U12" s="2"/>
      <c r="V12" s="2"/>
      <c r="W12" s="2"/>
      <c r="X12" s="2"/>
      <c r="Y12" s="2"/>
      <c r="Z12" s="3"/>
      <c r="AA12" s="4"/>
      <c r="AI12">
        <f t="shared" ref="AI12:AI18" si="2">AI11+1</f>
        <v>21</v>
      </c>
      <c r="AJ12" s="10">
        <f t="shared" si="1"/>
        <v>0</v>
      </c>
      <c r="AK12" s="10">
        <f t="shared" si="1"/>
        <v>1</v>
      </c>
      <c r="AL12" s="10">
        <f t="shared" si="1"/>
        <v>1</v>
      </c>
      <c r="AM12" s="10">
        <f t="shared" si="1"/>
        <v>0</v>
      </c>
      <c r="AN12" s="10">
        <f t="shared" si="1"/>
        <v>1</v>
      </c>
      <c r="AO12" s="10">
        <f t="shared" si="1"/>
        <v>1</v>
      </c>
      <c r="AP12" s="10">
        <f t="shared" si="1"/>
        <v>0</v>
      </c>
      <c r="AQ12" s="10">
        <f t="shared" si="1"/>
        <v>1</v>
      </c>
      <c r="AR12" s="10">
        <f t="shared" si="1"/>
        <v>1</v>
      </c>
    </row>
    <row r="13" spans="1:44" x14ac:dyDescent="0.25">
      <c r="A13" s="2"/>
      <c r="B13" s="2"/>
      <c r="C13" s="2"/>
      <c r="D13" s="2"/>
      <c r="E13" s="2"/>
      <c r="F13" s="2"/>
      <c r="G13" s="2"/>
      <c r="H13" s="2"/>
      <c r="I13" s="2"/>
      <c r="J13" s="2"/>
      <c r="K13" s="2"/>
      <c r="L13" s="2"/>
      <c r="M13" s="2"/>
      <c r="N13" s="2"/>
      <c r="O13" s="2"/>
      <c r="P13" s="2"/>
      <c r="Q13" s="2"/>
      <c r="R13" s="2"/>
      <c r="S13" s="2"/>
      <c r="T13" s="2"/>
      <c r="U13" s="2"/>
      <c r="V13" s="57" t="s">
        <v>28</v>
      </c>
      <c r="W13" s="2"/>
      <c r="X13" s="2"/>
      <c r="Y13" s="2"/>
      <c r="Z13" s="56"/>
      <c r="AA13" s="4"/>
      <c r="AI13">
        <f t="shared" si="2"/>
        <v>22</v>
      </c>
      <c r="AJ13" s="10">
        <f t="shared" si="1"/>
        <v>0</v>
      </c>
      <c r="AK13" s="10">
        <f t="shared" si="1"/>
        <v>1</v>
      </c>
      <c r="AL13" s="10">
        <f t="shared" si="1"/>
        <v>1</v>
      </c>
      <c r="AM13" s="10">
        <f t="shared" si="1"/>
        <v>0</v>
      </c>
      <c r="AN13" s="10">
        <f t="shared" si="1"/>
        <v>1</v>
      </c>
      <c r="AO13" s="10">
        <f t="shared" si="1"/>
        <v>1</v>
      </c>
      <c r="AP13" s="10">
        <f t="shared" si="1"/>
        <v>0</v>
      </c>
      <c r="AQ13" s="10">
        <f t="shared" si="1"/>
        <v>1</v>
      </c>
      <c r="AR13" s="10">
        <f t="shared" si="1"/>
        <v>1</v>
      </c>
    </row>
    <row r="14" spans="1:44" x14ac:dyDescent="0.25">
      <c r="A14" s="2"/>
      <c r="B14" s="2"/>
      <c r="C14" s="2"/>
      <c r="D14" s="2"/>
      <c r="E14" s="2"/>
      <c r="F14" s="2"/>
      <c r="G14" s="2"/>
      <c r="H14" s="2"/>
      <c r="I14" s="2"/>
      <c r="J14" s="2"/>
      <c r="K14" s="2"/>
      <c r="L14" s="2"/>
      <c r="M14" s="2"/>
      <c r="N14" s="2"/>
      <c r="O14" s="2"/>
      <c r="P14" s="2"/>
      <c r="Q14" s="2"/>
      <c r="R14" s="2"/>
      <c r="S14" s="2"/>
      <c r="T14" s="2"/>
      <c r="U14" s="2"/>
      <c r="V14" s="2"/>
      <c r="W14" s="2"/>
      <c r="X14" s="2"/>
      <c r="Y14" s="2"/>
      <c r="Z14" s="3"/>
      <c r="AA14" s="4"/>
      <c r="AI14">
        <f t="shared" si="2"/>
        <v>23</v>
      </c>
      <c r="AJ14" s="10">
        <f t="shared" si="1"/>
        <v>0</v>
      </c>
      <c r="AK14" s="10">
        <f t="shared" si="1"/>
        <v>0</v>
      </c>
      <c r="AL14" s="10">
        <f t="shared" si="1"/>
        <v>0</v>
      </c>
      <c r="AM14" s="10">
        <f t="shared" si="1"/>
        <v>0</v>
      </c>
      <c r="AN14" s="10" t="str">
        <f t="shared" si="1"/>
        <v>Ø</v>
      </c>
      <c r="AO14" s="10">
        <f t="shared" si="1"/>
        <v>0</v>
      </c>
      <c r="AP14" s="10">
        <f t="shared" si="1"/>
        <v>0</v>
      </c>
      <c r="AQ14" s="10">
        <f t="shared" si="1"/>
        <v>1</v>
      </c>
      <c r="AR14" s="10">
        <f t="shared" si="1"/>
        <v>1</v>
      </c>
    </row>
    <row r="15" spans="1:44" x14ac:dyDescent="0.25">
      <c r="A15" s="2"/>
      <c r="B15" s="2"/>
      <c r="C15" s="2"/>
      <c r="D15" s="2"/>
      <c r="E15" s="2"/>
      <c r="F15" s="2"/>
      <c r="G15" s="2"/>
      <c r="H15" s="2"/>
      <c r="I15" s="2"/>
      <c r="J15" s="2"/>
      <c r="K15" s="2"/>
      <c r="L15" s="2"/>
      <c r="M15" s="2"/>
      <c r="N15" s="2"/>
      <c r="O15" s="2"/>
      <c r="P15" s="2"/>
      <c r="Q15" s="2"/>
      <c r="R15" s="2"/>
      <c r="S15" s="2"/>
      <c r="T15" s="2"/>
      <c r="U15" s="2"/>
      <c r="V15" s="2"/>
      <c r="W15" s="2"/>
      <c r="X15" s="2"/>
      <c r="Y15" s="2"/>
      <c r="Z15" s="3"/>
      <c r="AA15" s="4"/>
      <c r="AI15">
        <f t="shared" si="2"/>
        <v>24</v>
      </c>
      <c r="AJ15" s="10">
        <f t="shared" si="1"/>
        <v>1</v>
      </c>
      <c r="AK15" s="10">
        <f t="shared" si="1"/>
        <v>1</v>
      </c>
      <c r="AL15" s="10">
        <f t="shared" si="1"/>
        <v>1</v>
      </c>
      <c r="AM15" s="10">
        <f t="shared" si="1"/>
        <v>0</v>
      </c>
      <c r="AN15" s="10">
        <f t="shared" si="1"/>
        <v>1</v>
      </c>
      <c r="AO15" s="10">
        <f t="shared" si="1"/>
        <v>1</v>
      </c>
      <c r="AP15" s="10">
        <f t="shared" si="1"/>
        <v>0</v>
      </c>
      <c r="AQ15" s="10">
        <f t="shared" si="1"/>
        <v>1</v>
      </c>
      <c r="AR15" s="10">
        <f t="shared" si="1"/>
        <v>1</v>
      </c>
    </row>
    <row r="16" spans="1:44" x14ac:dyDescent="0.25">
      <c r="A16" s="2"/>
      <c r="B16" s="2"/>
      <c r="C16" s="2"/>
      <c r="D16" s="2"/>
      <c r="E16" s="2"/>
      <c r="F16" s="2"/>
      <c r="G16" s="2"/>
      <c r="H16" s="2"/>
      <c r="I16" s="2"/>
      <c r="J16" s="2"/>
      <c r="K16" s="2"/>
      <c r="L16" s="2"/>
      <c r="M16" s="2"/>
      <c r="N16" s="2"/>
      <c r="O16" s="2"/>
      <c r="P16" s="2"/>
      <c r="Q16" s="2"/>
      <c r="R16" s="2"/>
      <c r="S16" s="2"/>
      <c r="T16" s="2"/>
      <c r="U16" s="2"/>
      <c r="V16" s="2"/>
      <c r="W16" s="2"/>
      <c r="X16" s="2"/>
      <c r="Y16" s="2"/>
      <c r="Z16" s="3"/>
      <c r="AA16" s="4"/>
      <c r="AI16">
        <f t="shared" si="2"/>
        <v>25</v>
      </c>
      <c r="AJ16" s="10">
        <f t="shared" si="1"/>
        <v>1</v>
      </c>
      <c r="AK16" s="10">
        <f t="shared" si="1"/>
        <v>1</v>
      </c>
      <c r="AL16" s="10">
        <f t="shared" si="1"/>
        <v>1</v>
      </c>
      <c r="AM16" s="10">
        <f t="shared" si="1"/>
        <v>0</v>
      </c>
      <c r="AN16" s="10">
        <f t="shared" si="1"/>
        <v>1</v>
      </c>
      <c r="AO16" s="10">
        <f t="shared" si="1"/>
        <v>1</v>
      </c>
      <c r="AP16" s="10">
        <f t="shared" si="1"/>
        <v>0</v>
      </c>
      <c r="AQ16" s="10">
        <f t="shared" si="1"/>
        <v>1</v>
      </c>
      <c r="AR16" s="10">
        <f t="shared" si="1"/>
        <v>1</v>
      </c>
    </row>
    <row r="17" spans="1:44" x14ac:dyDescent="0.25">
      <c r="A17" s="2"/>
      <c r="B17" s="2"/>
      <c r="C17" s="2"/>
      <c r="D17" s="2"/>
      <c r="E17" s="2"/>
      <c r="F17" s="2"/>
      <c r="G17" s="2"/>
      <c r="H17" s="2"/>
      <c r="I17" s="2"/>
      <c r="J17" s="2"/>
      <c r="K17" s="2"/>
      <c r="L17" s="2"/>
      <c r="M17" s="2"/>
      <c r="N17" s="2"/>
      <c r="O17" s="2"/>
      <c r="P17" s="2"/>
      <c r="Q17" s="2"/>
      <c r="R17" s="2"/>
      <c r="S17" s="2"/>
      <c r="T17" s="2"/>
      <c r="U17" s="2"/>
      <c r="V17" s="2"/>
      <c r="W17" s="2"/>
      <c r="X17" s="2"/>
      <c r="Y17" s="2"/>
      <c r="Z17" s="3"/>
      <c r="AA17" s="4"/>
      <c r="AI17">
        <f t="shared" si="2"/>
        <v>26</v>
      </c>
      <c r="AJ17" s="10">
        <f t="shared" si="1"/>
        <v>0</v>
      </c>
      <c r="AK17" s="10">
        <f t="shared" si="1"/>
        <v>1</v>
      </c>
      <c r="AL17" s="10">
        <f t="shared" si="1"/>
        <v>1</v>
      </c>
      <c r="AM17" s="10">
        <f t="shared" si="1"/>
        <v>0</v>
      </c>
      <c r="AN17" s="10">
        <f t="shared" si="1"/>
        <v>0</v>
      </c>
      <c r="AO17" s="10">
        <f t="shared" si="1"/>
        <v>0</v>
      </c>
      <c r="AP17" s="10">
        <f t="shared" si="1"/>
        <v>0</v>
      </c>
      <c r="AQ17" s="10">
        <f t="shared" si="1"/>
        <v>1</v>
      </c>
      <c r="AR17" s="10">
        <f t="shared" si="1"/>
        <v>1</v>
      </c>
    </row>
    <row r="18" spans="1:44" x14ac:dyDescent="0.25">
      <c r="A18" s="2"/>
      <c r="B18" s="2"/>
      <c r="C18" s="2"/>
      <c r="D18" s="2"/>
      <c r="E18" s="2"/>
      <c r="F18" s="2"/>
      <c r="G18" s="2"/>
      <c r="H18" s="2"/>
      <c r="I18" s="2"/>
      <c r="J18" s="2"/>
      <c r="K18" s="2"/>
      <c r="L18" s="2"/>
      <c r="M18" s="2"/>
      <c r="N18" s="2"/>
      <c r="O18" s="2"/>
      <c r="P18" s="2"/>
      <c r="Q18" s="2"/>
      <c r="R18" s="2"/>
      <c r="S18" s="2"/>
      <c r="T18" s="2"/>
      <c r="U18" s="2"/>
      <c r="V18" s="2"/>
      <c r="W18" s="2"/>
      <c r="X18" s="2"/>
      <c r="Y18" s="2"/>
      <c r="Z18" s="3"/>
      <c r="AA18" s="4"/>
      <c r="AI18">
        <f t="shared" si="2"/>
        <v>27</v>
      </c>
      <c r="AJ18" s="10">
        <f t="shared" si="1"/>
        <v>0</v>
      </c>
      <c r="AK18" s="10">
        <f t="shared" si="1"/>
        <v>1</v>
      </c>
      <c r="AL18" s="10">
        <f t="shared" si="1"/>
        <v>1</v>
      </c>
      <c r="AM18" s="10">
        <f t="shared" si="1"/>
        <v>0</v>
      </c>
      <c r="AN18" s="10">
        <f t="shared" si="1"/>
        <v>1</v>
      </c>
      <c r="AO18" s="10">
        <f t="shared" si="1"/>
        <v>1</v>
      </c>
      <c r="AP18" s="10">
        <f t="shared" si="1"/>
        <v>0</v>
      </c>
      <c r="AQ18" s="10">
        <f t="shared" si="1"/>
        <v>1</v>
      </c>
      <c r="AR18" s="10">
        <f t="shared" si="1"/>
        <v>1</v>
      </c>
    </row>
    <row r="19" spans="1:44" x14ac:dyDescent="0.25">
      <c r="A19" s="2"/>
      <c r="B19" s="2"/>
      <c r="C19" s="2"/>
      <c r="D19" s="2"/>
      <c r="E19" s="2"/>
      <c r="F19" s="2"/>
      <c r="G19" s="2"/>
      <c r="H19" s="2"/>
      <c r="I19" s="2"/>
      <c r="J19" s="2"/>
      <c r="K19" s="2"/>
      <c r="L19" s="2"/>
      <c r="M19" s="2"/>
      <c r="N19" s="2"/>
      <c r="O19" s="2"/>
      <c r="P19" s="2"/>
      <c r="Q19" s="2"/>
      <c r="R19" s="2"/>
      <c r="S19" s="2"/>
      <c r="T19" s="2"/>
      <c r="U19" s="2"/>
      <c r="V19" s="2"/>
      <c r="W19" s="2"/>
      <c r="X19" s="2"/>
      <c r="Y19" s="2"/>
      <c r="Z19" s="3"/>
      <c r="AA19" s="4"/>
    </row>
    <row r="20" spans="1:44"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J20" s="52">
        <f>IFERROR(SQRT(($AI10-Calc.Top)^2+(AJ$9-Calc.Left)^2)*AJ10,-1)</f>
        <v>5.6568542494923806</v>
      </c>
      <c r="AK20" s="52">
        <f t="shared" ref="AK20:AR28" si="3">IFERROR(SQRT(ABS($AI10-Calc.Top)^2+ABS(AK$9-Calc.Left)^2)*AK10,-1)</f>
        <v>5</v>
      </c>
      <c r="AL20" s="52">
        <f t="shared" si="3"/>
        <v>4.4721359549995796</v>
      </c>
      <c r="AM20" s="52">
        <f t="shared" si="3"/>
        <v>0</v>
      </c>
      <c r="AN20" s="52">
        <f t="shared" si="3"/>
        <v>4</v>
      </c>
      <c r="AO20" s="52">
        <f t="shared" si="3"/>
        <v>4.1231056256176606</v>
      </c>
      <c r="AP20" s="52">
        <f t="shared" si="3"/>
        <v>4.4721359549995796</v>
      </c>
      <c r="AQ20" s="52">
        <f t="shared" si="3"/>
        <v>5</v>
      </c>
      <c r="AR20" s="52">
        <f t="shared" si="3"/>
        <v>5.6568542494923806</v>
      </c>
    </row>
    <row r="21" spans="1:44"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J21" s="52">
        <f t="shared" ref="AJ21:AJ28" si="4">IFERROR(SQRT(ABS($AI11-Calc.Top)^2+ABS(AJ$9-Calc.Left)^2)*AJ11,-1)</f>
        <v>0</v>
      </c>
      <c r="AK21" s="52">
        <f t="shared" si="3"/>
        <v>4.2426406871192848</v>
      </c>
      <c r="AL21" s="52">
        <f t="shared" si="3"/>
        <v>3.6055512754639891</v>
      </c>
      <c r="AM21" s="52">
        <f t="shared" si="3"/>
        <v>0</v>
      </c>
      <c r="AN21" s="52">
        <f t="shared" si="3"/>
        <v>3</v>
      </c>
      <c r="AO21" s="52">
        <f t="shared" si="3"/>
        <v>3.1622776601683795</v>
      </c>
      <c r="AP21" s="52">
        <f t="shared" si="3"/>
        <v>0</v>
      </c>
      <c r="AQ21" s="52">
        <f t="shared" si="3"/>
        <v>0</v>
      </c>
      <c r="AR21" s="52">
        <f t="shared" si="3"/>
        <v>0</v>
      </c>
    </row>
    <row r="22" spans="1:44"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J22" s="52">
        <f t="shared" si="4"/>
        <v>0</v>
      </c>
      <c r="AK22" s="52">
        <f t="shared" si="3"/>
        <v>3.6055512754639891</v>
      </c>
      <c r="AL22" s="52">
        <f t="shared" si="3"/>
        <v>2.8284271247461903</v>
      </c>
      <c r="AM22" s="52">
        <f t="shared" si="3"/>
        <v>0</v>
      </c>
      <c r="AN22" s="52">
        <f t="shared" si="3"/>
        <v>2</v>
      </c>
      <c r="AO22" s="52">
        <f t="shared" si="3"/>
        <v>2.2360679774997898</v>
      </c>
      <c r="AP22" s="52">
        <f t="shared" si="3"/>
        <v>0</v>
      </c>
      <c r="AQ22" s="52">
        <f t="shared" si="3"/>
        <v>3.6055512754639891</v>
      </c>
      <c r="AR22" s="52">
        <f t="shared" si="3"/>
        <v>4.4721359549995796</v>
      </c>
    </row>
    <row r="23" spans="1:44"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J23" s="52">
        <f t="shared" si="4"/>
        <v>0</v>
      </c>
      <c r="AK23" s="52">
        <f t="shared" si="3"/>
        <v>3.1622776601683795</v>
      </c>
      <c r="AL23" s="52">
        <f t="shared" si="3"/>
        <v>2.2360679774997898</v>
      </c>
      <c r="AM23" s="52">
        <f t="shared" si="3"/>
        <v>0</v>
      </c>
      <c r="AN23" s="52">
        <f t="shared" si="3"/>
        <v>1</v>
      </c>
      <c r="AO23" s="52">
        <f t="shared" si="3"/>
        <v>1.4142135623730951</v>
      </c>
      <c r="AP23" s="52">
        <f t="shared" si="3"/>
        <v>0</v>
      </c>
      <c r="AQ23" s="52">
        <f t="shared" si="3"/>
        <v>3.1622776601683795</v>
      </c>
      <c r="AR23" s="52">
        <f t="shared" si="3"/>
        <v>4.1231056256176606</v>
      </c>
    </row>
    <row r="24" spans="1:44"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J24" s="52">
        <f t="shared" si="4"/>
        <v>0</v>
      </c>
      <c r="AK24" s="52">
        <f t="shared" si="3"/>
        <v>0</v>
      </c>
      <c r="AL24" s="52">
        <f t="shared" si="3"/>
        <v>0</v>
      </c>
      <c r="AM24" s="52">
        <f t="shared" si="3"/>
        <v>0</v>
      </c>
      <c r="AN24" s="52">
        <f t="shared" si="3"/>
        <v>-1</v>
      </c>
      <c r="AO24" s="52">
        <f t="shared" si="3"/>
        <v>0</v>
      </c>
      <c r="AP24" s="52">
        <f t="shared" si="3"/>
        <v>0</v>
      </c>
      <c r="AQ24" s="52">
        <f t="shared" si="3"/>
        <v>3</v>
      </c>
      <c r="AR24" s="52">
        <f t="shared" si="3"/>
        <v>4</v>
      </c>
    </row>
    <row r="25" spans="1:44"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J25" s="52">
        <f t="shared" si="4"/>
        <v>4.1231056256176606</v>
      </c>
      <c r="AK25" s="52">
        <f t="shared" si="3"/>
        <v>3.1622776601683795</v>
      </c>
      <c r="AL25" s="52">
        <f t="shared" si="3"/>
        <v>2.2360679774997898</v>
      </c>
      <c r="AM25" s="52">
        <f t="shared" si="3"/>
        <v>0</v>
      </c>
      <c r="AN25" s="52">
        <f t="shared" si="3"/>
        <v>1</v>
      </c>
      <c r="AO25" s="52">
        <f t="shared" si="3"/>
        <v>1.4142135623730951</v>
      </c>
      <c r="AP25" s="52">
        <f t="shared" si="3"/>
        <v>0</v>
      </c>
      <c r="AQ25" s="52">
        <f t="shared" si="3"/>
        <v>3.1622776601683795</v>
      </c>
      <c r="AR25" s="52">
        <f t="shared" si="3"/>
        <v>4.1231056256176606</v>
      </c>
    </row>
    <row r="26" spans="1:44"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J26" s="52">
        <f t="shared" si="4"/>
        <v>4.4721359549995796</v>
      </c>
      <c r="AK26" s="52">
        <f t="shared" si="3"/>
        <v>3.6055512754639891</v>
      </c>
      <c r="AL26" s="52">
        <f t="shared" si="3"/>
        <v>2.8284271247461903</v>
      </c>
      <c r="AM26" s="52">
        <f t="shared" si="3"/>
        <v>0</v>
      </c>
      <c r="AN26" s="52">
        <f t="shared" si="3"/>
        <v>2</v>
      </c>
      <c r="AO26" s="52">
        <f t="shared" si="3"/>
        <v>2.2360679774997898</v>
      </c>
      <c r="AP26" s="52">
        <f t="shared" si="3"/>
        <v>0</v>
      </c>
      <c r="AQ26" s="52">
        <f t="shared" si="3"/>
        <v>3.6055512754639891</v>
      </c>
      <c r="AR26" s="52">
        <f t="shared" si="3"/>
        <v>4.4721359549995796</v>
      </c>
    </row>
    <row r="27" spans="1:44"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J27" s="52">
        <f t="shared" si="4"/>
        <v>0</v>
      </c>
      <c r="AK27" s="52">
        <f t="shared" si="3"/>
        <v>4.2426406871192848</v>
      </c>
      <c r="AL27" s="52">
        <f t="shared" si="3"/>
        <v>3.6055512754639891</v>
      </c>
      <c r="AM27" s="52">
        <f t="shared" si="3"/>
        <v>0</v>
      </c>
      <c r="AN27" s="52">
        <f t="shared" si="3"/>
        <v>0</v>
      </c>
      <c r="AO27" s="52">
        <f t="shared" si="3"/>
        <v>0</v>
      </c>
      <c r="AP27" s="52">
        <f t="shared" si="3"/>
        <v>0</v>
      </c>
      <c r="AQ27" s="52">
        <f t="shared" si="3"/>
        <v>4.2426406871192848</v>
      </c>
      <c r="AR27" s="52">
        <f t="shared" si="3"/>
        <v>5</v>
      </c>
    </row>
    <row r="28" spans="1:44" hidden="1" x14ac:dyDescent="0.25">
      <c r="AJ28" s="52">
        <f t="shared" si="4"/>
        <v>0</v>
      </c>
      <c r="AK28" s="52">
        <f t="shared" si="3"/>
        <v>5</v>
      </c>
      <c r="AL28" s="52">
        <f t="shared" si="3"/>
        <v>4.4721359549995796</v>
      </c>
      <c r="AM28" s="52">
        <f t="shared" si="3"/>
        <v>0</v>
      </c>
      <c r="AN28" s="52">
        <f t="shared" si="3"/>
        <v>4</v>
      </c>
      <c r="AO28" s="52">
        <f t="shared" si="3"/>
        <v>4.1231056256176606</v>
      </c>
      <c r="AP28" s="52">
        <f t="shared" si="3"/>
        <v>0</v>
      </c>
      <c r="AQ28" s="52">
        <f t="shared" si="3"/>
        <v>5</v>
      </c>
      <c r="AR28" s="52">
        <f t="shared" si="3"/>
        <v>5.6568542494923806</v>
      </c>
    </row>
  </sheetData>
  <sheetProtection selectLockedCells="1"/>
  <conditionalFormatting sqref="AJ20:AR28">
    <cfRule type="colorScale" priority="1">
      <colorScale>
        <cfvo type="min"/>
        <cfvo type="max"/>
        <color rgb="FFD9D9D9"/>
        <color rgb="FF000000"/>
      </colorScale>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37"/>
  <sheetViews>
    <sheetView topLeftCell="A3" workbookViewId="0">
      <selection activeCell="X35" sqref="X35"/>
    </sheetView>
  </sheetViews>
  <sheetFormatPr defaultRowHeight="15" x14ac:dyDescent="0.25"/>
  <cols>
    <col min="4" max="33" width="1.7109375" customWidth="1"/>
  </cols>
  <sheetData>
    <row r="1" spans="1:35"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row>
    <row r="2" spans="1:35"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35" x14ac:dyDescent="0.25">
      <c r="A3" s="2"/>
      <c r="B3" s="2"/>
      <c r="C3" s="53"/>
      <c r="D3" s="54">
        <v>1</v>
      </c>
      <c r="E3" s="54">
        <v>2</v>
      </c>
      <c r="F3" s="54">
        <v>3</v>
      </c>
      <c r="G3" s="54">
        <v>4</v>
      </c>
      <c r="H3" s="54">
        <v>5</v>
      </c>
      <c r="I3" s="54">
        <v>6</v>
      </c>
      <c r="J3" s="54">
        <v>7</v>
      </c>
      <c r="K3" s="54">
        <v>8</v>
      </c>
      <c r="L3" s="54">
        <v>9</v>
      </c>
      <c r="M3" s="54">
        <v>10</v>
      </c>
      <c r="N3" s="54">
        <v>11</v>
      </c>
      <c r="O3" s="54">
        <v>12</v>
      </c>
      <c r="P3" s="54">
        <v>13</v>
      </c>
      <c r="Q3" s="54">
        <v>14</v>
      </c>
      <c r="R3" s="54">
        <v>15</v>
      </c>
      <c r="S3" s="54">
        <v>16</v>
      </c>
      <c r="T3" s="54">
        <v>17</v>
      </c>
      <c r="U3" s="54">
        <v>18</v>
      </c>
      <c r="V3" s="54">
        <v>19</v>
      </c>
      <c r="W3" s="54">
        <v>20</v>
      </c>
      <c r="X3" s="54">
        <v>21</v>
      </c>
      <c r="Y3" s="54">
        <v>22</v>
      </c>
      <c r="Z3" s="54">
        <v>23</v>
      </c>
      <c r="AA3" s="54">
        <v>24</v>
      </c>
      <c r="AB3" s="54">
        <v>25</v>
      </c>
      <c r="AC3" s="54">
        <v>26</v>
      </c>
      <c r="AD3" s="54">
        <v>27</v>
      </c>
      <c r="AE3" s="54">
        <v>28</v>
      </c>
      <c r="AF3" s="54">
        <v>29</v>
      </c>
      <c r="AG3" s="54">
        <v>30</v>
      </c>
      <c r="AH3" s="53"/>
      <c r="AI3" s="2"/>
    </row>
    <row r="4" spans="1:35" ht="9" customHeight="1" x14ac:dyDescent="0.25">
      <c r="A4" s="2"/>
      <c r="B4" s="2"/>
      <c r="C4" s="54">
        <v>1</v>
      </c>
      <c r="D4" s="65">
        <f t="shared" ref="D4:M13" si="0">IFERROR(IF(SQRT((D$3-Calc.Left)^2+($C4-Calc.Top)^2)&lt;12,  (INDEX(MazeMatrix,$C4,D$3)*2)+SQRT((D$3-Calc.Left)^2+($C4-Calc.Top)^2), SQRT((D$3-Calc.Left)^2+($C4-Calc.Top)^2)),Player.Direction)</f>
        <v>31.827660925679098</v>
      </c>
      <c r="E4" s="65">
        <f t="shared" si="0"/>
        <v>31.11269837220809</v>
      </c>
      <c r="F4" s="65">
        <f t="shared" si="0"/>
        <v>30.413812651491099</v>
      </c>
      <c r="G4" s="65">
        <f t="shared" si="0"/>
        <v>29.732137494637012</v>
      </c>
      <c r="H4" s="65">
        <f t="shared" si="0"/>
        <v>29.068883707497267</v>
      </c>
      <c r="I4" s="65">
        <f t="shared" si="0"/>
        <v>28.42534080710379</v>
      </c>
      <c r="J4" s="65">
        <f t="shared" si="0"/>
        <v>27.802877548915689</v>
      </c>
      <c r="K4" s="65">
        <f t="shared" si="0"/>
        <v>27.202941017470888</v>
      </c>
      <c r="L4" s="65">
        <f t="shared" si="0"/>
        <v>26.627053911388696</v>
      </c>
      <c r="M4" s="65">
        <f t="shared" si="0"/>
        <v>26.076809620810597</v>
      </c>
      <c r="N4" s="65">
        <f t="shared" ref="N4:W13" si="1">IFERROR(IF(SQRT((N$3-Calc.Left)^2+($C4-Calc.Top)^2)&lt;12,  (INDEX(MazeMatrix,$C4,N$3)*2)+SQRT((N$3-Calc.Left)^2+($C4-Calc.Top)^2), SQRT((N$3-Calc.Left)^2+($C4-Calc.Top)^2)),Player.Direction)</f>
        <v>25.553864678361276</v>
      </c>
      <c r="O4" s="65">
        <f t="shared" si="1"/>
        <v>25.059928172283335</v>
      </c>
      <c r="P4" s="65">
        <f t="shared" si="1"/>
        <v>24.596747752497688</v>
      </c>
      <c r="Q4" s="65">
        <f t="shared" si="1"/>
        <v>24.166091947189145</v>
      </c>
      <c r="R4" s="65">
        <f t="shared" si="1"/>
        <v>23.769728648009426</v>
      </c>
      <c r="S4" s="65">
        <f t="shared" si="1"/>
        <v>23.409399821439251</v>
      </c>
      <c r="T4" s="65">
        <f t="shared" si="1"/>
        <v>23.086792761230392</v>
      </c>
      <c r="U4" s="65">
        <f t="shared" si="1"/>
        <v>22.803508501982758</v>
      </c>
      <c r="V4" s="65">
        <f t="shared" si="1"/>
        <v>22.561028345356956</v>
      </c>
      <c r="W4" s="65">
        <f t="shared" si="1"/>
        <v>22.360679774997898</v>
      </c>
      <c r="X4" s="65">
        <f t="shared" ref="X4:AG13" si="2">IFERROR(IF(SQRT((X$3-Calc.Left)^2+($C4-Calc.Top)^2)&lt;12,  (INDEX(MazeMatrix,$C4,X$3)*2)+SQRT((X$3-Calc.Left)^2+($C4-Calc.Top)^2), SQRT((X$3-Calc.Left)^2+($C4-Calc.Top)^2)),Player.Direction)</f>
        <v>22.203603311174518</v>
      </c>
      <c r="Y4" s="65">
        <f t="shared" si="2"/>
        <v>22.090722034374522</v>
      </c>
      <c r="Z4" s="65">
        <f t="shared" si="2"/>
        <v>22.022715545545239</v>
      </c>
      <c r="AA4" s="65">
        <f t="shared" si="2"/>
        <v>22</v>
      </c>
      <c r="AB4" s="65">
        <f t="shared" si="2"/>
        <v>22.022715545545239</v>
      </c>
      <c r="AC4" s="65">
        <f t="shared" si="2"/>
        <v>22.090722034374522</v>
      </c>
      <c r="AD4" s="65">
        <f t="shared" si="2"/>
        <v>22.203603311174518</v>
      </c>
      <c r="AE4" s="65">
        <f t="shared" si="2"/>
        <v>22.360679774997898</v>
      </c>
      <c r="AF4" s="65">
        <f t="shared" si="2"/>
        <v>22.561028345356956</v>
      </c>
      <c r="AG4" s="65">
        <f t="shared" si="2"/>
        <v>22.803508501982758</v>
      </c>
      <c r="AH4" s="53"/>
      <c r="AI4" s="2"/>
    </row>
    <row r="5" spans="1:35" ht="9" customHeight="1" x14ac:dyDescent="0.25">
      <c r="A5" s="2"/>
      <c r="B5" s="2"/>
      <c r="C5" s="54">
        <v>2</v>
      </c>
      <c r="D5" s="65">
        <f t="shared" si="0"/>
        <v>31.144823004794873</v>
      </c>
      <c r="E5" s="65">
        <f t="shared" si="0"/>
        <v>30.413812651491099</v>
      </c>
      <c r="F5" s="65">
        <f t="shared" si="0"/>
        <v>29.698484809834994</v>
      </c>
      <c r="G5" s="65">
        <f t="shared" si="0"/>
        <v>29</v>
      </c>
      <c r="H5" s="65">
        <f t="shared" si="0"/>
        <v>28.319604517012593</v>
      </c>
      <c r="I5" s="65">
        <f t="shared" si="0"/>
        <v>27.658633371878661</v>
      </c>
      <c r="J5" s="65">
        <f t="shared" si="0"/>
        <v>27.018512172212592</v>
      </c>
      <c r="K5" s="65">
        <f t="shared" si="0"/>
        <v>26.40075756488817</v>
      </c>
      <c r="L5" s="65">
        <f t="shared" si="0"/>
        <v>25.80697580112788</v>
      </c>
      <c r="M5" s="65">
        <f t="shared" si="0"/>
        <v>25.238858928247925</v>
      </c>
      <c r="N5" s="65">
        <f t="shared" si="1"/>
        <v>24.698178070456937</v>
      </c>
      <c r="O5" s="65">
        <f t="shared" si="1"/>
        <v>24.186773244895647</v>
      </c>
      <c r="P5" s="65">
        <f t="shared" si="1"/>
        <v>23.706539182259394</v>
      </c>
      <c r="Q5" s="65">
        <f t="shared" si="1"/>
        <v>23.259406699226016</v>
      </c>
      <c r="R5" s="65">
        <f t="shared" si="1"/>
        <v>22.847319317591726</v>
      </c>
      <c r="S5" s="65">
        <f t="shared" si="1"/>
        <v>22.472205054244231</v>
      </c>
      <c r="T5" s="65">
        <f t="shared" si="1"/>
        <v>22.135943621178654</v>
      </c>
      <c r="U5" s="65">
        <f t="shared" si="1"/>
        <v>21.840329667841555</v>
      </c>
      <c r="V5" s="65">
        <f t="shared" si="1"/>
        <v>21.587033144922902</v>
      </c>
      <c r="W5" s="65">
        <f t="shared" si="1"/>
        <v>21.377558326431949</v>
      </c>
      <c r="X5" s="65">
        <f t="shared" si="2"/>
        <v>21.213203435596427</v>
      </c>
      <c r="Y5" s="65">
        <f t="shared" si="2"/>
        <v>21.095023109728988</v>
      </c>
      <c r="Z5" s="65">
        <f t="shared" si="2"/>
        <v>21.023796041628639</v>
      </c>
      <c r="AA5" s="65">
        <f t="shared" si="2"/>
        <v>21</v>
      </c>
      <c r="AB5" s="65">
        <f t="shared" si="2"/>
        <v>21.023796041628639</v>
      </c>
      <c r="AC5" s="65">
        <f t="shared" si="2"/>
        <v>21.095023109728988</v>
      </c>
      <c r="AD5" s="65">
        <f t="shared" si="2"/>
        <v>21.213203435596427</v>
      </c>
      <c r="AE5" s="65">
        <f t="shared" si="2"/>
        <v>21.377558326431949</v>
      </c>
      <c r="AF5" s="65">
        <f t="shared" si="2"/>
        <v>21.587033144922902</v>
      </c>
      <c r="AG5" s="65">
        <f t="shared" si="2"/>
        <v>21.840329667841555</v>
      </c>
      <c r="AH5" s="53"/>
      <c r="AI5" s="2"/>
    </row>
    <row r="6" spans="1:35" ht="9" customHeight="1" x14ac:dyDescent="0.25">
      <c r="A6" s="2"/>
      <c r="B6" s="2"/>
      <c r="C6" s="54">
        <v>3</v>
      </c>
      <c r="D6" s="65">
        <f t="shared" si="0"/>
        <v>30.479501308256342</v>
      </c>
      <c r="E6" s="65">
        <f t="shared" si="0"/>
        <v>29.732137494637012</v>
      </c>
      <c r="F6" s="65">
        <f t="shared" si="0"/>
        <v>29</v>
      </c>
      <c r="G6" s="65">
        <f t="shared" si="0"/>
        <v>28.284271247461902</v>
      </c>
      <c r="H6" s="65">
        <f t="shared" si="0"/>
        <v>27.586228448267445</v>
      </c>
      <c r="I6" s="65">
        <f t="shared" si="0"/>
        <v>26.90724809414742</v>
      </c>
      <c r="J6" s="65">
        <f t="shared" si="0"/>
        <v>26.248809496813376</v>
      </c>
      <c r="K6" s="65">
        <f t="shared" si="0"/>
        <v>25.612496949731394</v>
      </c>
      <c r="L6" s="65">
        <f t="shared" si="0"/>
        <v>25</v>
      </c>
      <c r="M6" s="65">
        <f t="shared" si="0"/>
        <v>24.413111231467404</v>
      </c>
      <c r="N6" s="65">
        <f t="shared" si="1"/>
        <v>23.853720883753127</v>
      </c>
      <c r="O6" s="65">
        <f t="shared" si="1"/>
        <v>23.323807579381203</v>
      </c>
      <c r="P6" s="65">
        <f t="shared" si="1"/>
        <v>22.825424421026653</v>
      </c>
      <c r="Q6" s="65">
        <f t="shared" si="1"/>
        <v>22.360679774997898</v>
      </c>
      <c r="R6" s="65">
        <f t="shared" si="1"/>
        <v>21.931712199461309</v>
      </c>
      <c r="S6" s="65">
        <f t="shared" si="1"/>
        <v>21.540659228538015</v>
      </c>
      <c r="T6" s="65">
        <f t="shared" si="1"/>
        <v>21.189620100417091</v>
      </c>
      <c r="U6" s="65">
        <f t="shared" si="1"/>
        <v>20.880613017821101</v>
      </c>
      <c r="V6" s="65">
        <f t="shared" si="1"/>
        <v>20.615528128088304</v>
      </c>
      <c r="W6" s="65">
        <f t="shared" si="1"/>
        <v>20.396078054371138</v>
      </c>
      <c r="X6" s="65">
        <f t="shared" si="2"/>
        <v>20.223748416156685</v>
      </c>
      <c r="Y6" s="65">
        <f t="shared" si="2"/>
        <v>20.09975124224178</v>
      </c>
      <c r="Z6" s="65">
        <f t="shared" si="2"/>
        <v>20.024984394500787</v>
      </c>
      <c r="AA6" s="65">
        <f t="shared" si="2"/>
        <v>20</v>
      </c>
      <c r="AB6" s="65">
        <f t="shared" si="2"/>
        <v>20.024984394500787</v>
      </c>
      <c r="AC6" s="65">
        <f t="shared" si="2"/>
        <v>20.09975124224178</v>
      </c>
      <c r="AD6" s="65">
        <f t="shared" si="2"/>
        <v>20.223748416156685</v>
      </c>
      <c r="AE6" s="65">
        <f t="shared" si="2"/>
        <v>20.396078054371138</v>
      </c>
      <c r="AF6" s="65">
        <f t="shared" si="2"/>
        <v>20.615528128088304</v>
      </c>
      <c r="AG6" s="65">
        <f t="shared" si="2"/>
        <v>20.880613017821101</v>
      </c>
      <c r="AH6" s="53"/>
      <c r="AI6" s="2"/>
    </row>
    <row r="7" spans="1:35" ht="9" customHeight="1" x14ac:dyDescent="0.25">
      <c r="A7" s="2"/>
      <c r="B7" s="2"/>
      <c r="C7" s="54">
        <v>4</v>
      </c>
      <c r="D7" s="65">
        <f t="shared" si="0"/>
        <v>29.832867780352597</v>
      </c>
      <c r="E7" s="65">
        <f t="shared" si="0"/>
        <v>29.068883707497267</v>
      </c>
      <c r="F7" s="65">
        <f t="shared" si="0"/>
        <v>28.319604517012593</v>
      </c>
      <c r="G7" s="65">
        <f t="shared" si="0"/>
        <v>27.586228448267445</v>
      </c>
      <c r="H7" s="65">
        <f t="shared" si="0"/>
        <v>26.870057685088806</v>
      </c>
      <c r="I7" s="65">
        <f t="shared" si="0"/>
        <v>26.172504656604801</v>
      </c>
      <c r="J7" s="65">
        <f t="shared" si="0"/>
        <v>25.495097567963924</v>
      </c>
      <c r="K7" s="65">
        <f t="shared" si="0"/>
        <v>24.839484696748443</v>
      </c>
      <c r="L7" s="65">
        <f t="shared" si="0"/>
        <v>24.207436873820409</v>
      </c>
      <c r="M7" s="65">
        <f t="shared" si="0"/>
        <v>23.600847442411894</v>
      </c>
      <c r="N7" s="65">
        <f t="shared" si="1"/>
        <v>23.021728866442675</v>
      </c>
      <c r="O7" s="65">
        <f t="shared" si="1"/>
        <v>22.472205054244231</v>
      </c>
      <c r="P7" s="65">
        <f t="shared" si="1"/>
        <v>21.95449840010015</v>
      </c>
      <c r="Q7" s="65">
        <f t="shared" si="1"/>
        <v>21.470910553583888</v>
      </c>
      <c r="R7" s="65">
        <f t="shared" si="1"/>
        <v>21.023796041628639</v>
      </c>
      <c r="S7" s="65">
        <f t="shared" si="1"/>
        <v>20.615528128088304</v>
      </c>
      <c r="T7" s="65">
        <f t="shared" si="1"/>
        <v>20.248456731316587</v>
      </c>
      <c r="U7" s="65">
        <f t="shared" si="1"/>
        <v>19.924858845171276</v>
      </c>
      <c r="V7" s="65">
        <f t="shared" si="1"/>
        <v>19.646882704388499</v>
      </c>
      <c r="W7" s="65">
        <f t="shared" si="1"/>
        <v>19.416487838947599</v>
      </c>
      <c r="X7" s="65">
        <f t="shared" si="2"/>
        <v>19.235384061671343</v>
      </c>
      <c r="Y7" s="65">
        <f t="shared" si="2"/>
        <v>19.104973174542799</v>
      </c>
      <c r="Z7" s="65">
        <f t="shared" si="2"/>
        <v>19.026297590440446</v>
      </c>
      <c r="AA7" s="65">
        <f t="shared" si="2"/>
        <v>19</v>
      </c>
      <c r="AB7" s="65">
        <f t="shared" si="2"/>
        <v>19.026297590440446</v>
      </c>
      <c r="AC7" s="65">
        <f t="shared" si="2"/>
        <v>19.104973174542799</v>
      </c>
      <c r="AD7" s="65">
        <f t="shared" si="2"/>
        <v>19.235384061671343</v>
      </c>
      <c r="AE7" s="65">
        <f t="shared" si="2"/>
        <v>19.416487838947599</v>
      </c>
      <c r="AF7" s="65">
        <f t="shared" si="2"/>
        <v>19.646882704388499</v>
      </c>
      <c r="AG7" s="65">
        <f t="shared" si="2"/>
        <v>19.924858845171276</v>
      </c>
      <c r="AH7" s="53"/>
      <c r="AI7" s="2"/>
    </row>
    <row r="8" spans="1:35" ht="9" customHeight="1" x14ac:dyDescent="0.25">
      <c r="A8" s="2"/>
      <c r="B8" s="2"/>
      <c r="C8" s="54">
        <v>5</v>
      </c>
      <c r="D8" s="65">
        <f t="shared" si="0"/>
        <v>29.206163733020468</v>
      </c>
      <c r="E8" s="65">
        <f t="shared" si="0"/>
        <v>28.42534080710379</v>
      </c>
      <c r="F8" s="65">
        <f t="shared" si="0"/>
        <v>27.658633371878661</v>
      </c>
      <c r="G8" s="65">
        <f t="shared" si="0"/>
        <v>26.90724809414742</v>
      </c>
      <c r="H8" s="65">
        <f t="shared" si="0"/>
        <v>26.172504656604801</v>
      </c>
      <c r="I8" s="65">
        <f t="shared" si="0"/>
        <v>25.45584412271571</v>
      </c>
      <c r="J8" s="65">
        <f t="shared" si="0"/>
        <v>24.758836806279895</v>
      </c>
      <c r="K8" s="65">
        <f t="shared" si="0"/>
        <v>24.083189157584592</v>
      </c>
      <c r="L8" s="65">
        <f t="shared" si="0"/>
        <v>23.430749027719962</v>
      </c>
      <c r="M8" s="65">
        <f t="shared" si="0"/>
        <v>22.803508501982758</v>
      </c>
      <c r="N8" s="65">
        <f t="shared" si="1"/>
        <v>22.203603311174518</v>
      </c>
      <c r="O8" s="65">
        <f t="shared" si="1"/>
        <v>21.633307652783937</v>
      </c>
      <c r="P8" s="65">
        <f t="shared" si="1"/>
        <v>21.095023109728988</v>
      </c>
      <c r="Q8" s="65">
        <f t="shared" si="1"/>
        <v>20.591260281974002</v>
      </c>
      <c r="R8" s="65">
        <f t="shared" si="1"/>
        <v>20.124611797498108</v>
      </c>
      <c r="S8" s="65">
        <f t="shared" si="1"/>
        <v>19.697715603592208</v>
      </c>
      <c r="T8" s="65">
        <f t="shared" si="1"/>
        <v>19.313207915827967</v>
      </c>
      <c r="U8" s="65">
        <f t="shared" si="1"/>
        <v>18.973665961010276</v>
      </c>
      <c r="V8" s="65">
        <f t="shared" si="1"/>
        <v>18.681541692269406</v>
      </c>
      <c r="W8" s="65">
        <f t="shared" si="1"/>
        <v>18.439088914585774</v>
      </c>
      <c r="X8" s="65">
        <f t="shared" si="2"/>
        <v>18.248287590894659</v>
      </c>
      <c r="Y8" s="65">
        <f t="shared" si="2"/>
        <v>18.110770276274835</v>
      </c>
      <c r="Z8" s="65">
        <f t="shared" si="2"/>
        <v>18.027756377319946</v>
      </c>
      <c r="AA8" s="65">
        <f t="shared" si="2"/>
        <v>18</v>
      </c>
      <c r="AB8" s="65">
        <f t="shared" si="2"/>
        <v>18.027756377319946</v>
      </c>
      <c r="AC8" s="65">
        <f t="shared" si="2"/>
        <v>18.110770276274835</v>
      </c>
      <c r="AD8" s="65">
        <f t="shared" si="2"/>
        <v>18.248287590894659</v>
      </c>
      <c r="AE8" s="65">
        <f t="shared" si="2"/>
        <v>18.439088914585774</v>
      </c>
      <c r="AF8" s="65">
        <f t="shared" si="2"/>
        <v>18.681541692269406</v>
      </c>
      <c r="AG8" s="65">
        <f t="shared" si="2"/>
        <v>18.973665961010276</v>
      </c>
      <c r="AH8" s="53"/>
      <c r="AI8" s="2"/>
    </row>
    <row r="9" spans="1:35" ht="9" customHeight="1" x14ac:dyDescent="0.25">
      <c r="A9" s="2"/>
      <c r="B9" s="2"/>
      <c r="C9" s="54">
        <v>6</v>
      </c>
      <c r="D9" s="65">
        <f t="shared" si="0"/>
        <v>28.600699292150182</v>
      </c>
      <c r="E9" s="65">
        <f t="shared" si="0"/>
        <v>27.802877548915689</v>
      </c>
      <c r="F9" s="65">
        <f t="shared" si="0"/>
        <v>27.018512172212592</v>
      </c>
      <c r="G9" s="65">
        <f t="shared" si="0"/>
        <v>26.248809496813376</v>
      </c>
      <c r="H9" s="65">
        <f t="shared" si="0"/>
        <v>25.495097567963924</v>
      </c>
      <c r="I9" s="65">
        <f t="shared" si="0"/>
        <v>24.758836806279895</v>
      </c>
      <c r="J9" s="65">
        <f t="shared" si="0"/>
        <v>24.041630560342615</v>
      </c>
      <c r="K9" s="65">
        <f t="shared" si="0"/>
        <v>23.345235059857504</v>
      </c>
      <c r="L9" s="65">
        <f t="shared" si="0"/>
        <v>22.671568097509269</v>
      </c>
      <c r="M9" s="65">
        <f t="shared" si="0"/>
        <v>22.022715545545239</v>
      </c>
      <c r="N9" s="65">
        <f t="shared" si="1"/>
        <v>21.400934559032695</v>
      </c>
      <c r="O9" s="65">
        <f t="shared" si="1"/>
        <v>20.808652046684813</v>
      </c>
      <c r="P9" s="65">
        <f t="shared" si="1"/>
        <v>20.248456731316587</v>
      </c>
      <c r="Q9" s="65">
        <f t="shared" si="1"/>
        <v>19.723082923316021</v>
      </c>
      <c r="R9" s="65">
        <f t="shared" si="1"/>
        <v>19.235384061671343</v>
      </c>
      <c r="S9" s="65">
        <f t="shared" si="1"/>
        <v>18.788294228055936</v>
      </c>
      <c r="T9" s="65">
        <f t="shared" si="1"/>
        <v>18.384776310850235</v>
      </c>
      <c r="U9" s="65">
        <f t="shared" si="1"/>
        <v>18.027756377319946</v>
      </c>
      <c r="V9" s="65">
        <f t="shared" si="1"/>
        <v>17.720045146669349</v>
      </c>
      <c r="W9" s="65">
        <f t="shared" si="1"/>
        <v>17.464249196572979</v>
      </c>
      <c r="X9" s="65">
        <f t="shared" si="2"/>
        <v>17.262676501632068</v>
      </c>
      <c r="Y9" s="65">
        <f t="shared" si="2"/>
        <v>17.11724276862369</v>
      </c>
      <c r="Z9" s="65">
        <f t="shared" si="2"/>
        <v>17.029386365926403</v>
      </c>
      <c r="AA9" s="65">
        <f t="shared" si="2"/>
        <v>17</v>
      </c>
      <c r="AB9" s="65">
        <f t="shared" si="2"/>
        <v>17.029386365926403</v>
      </c>
      <c r="AC9" s="65">
        <f t="shared" si="2"/>
        <v>17.11724276862369</v>
      </c>
      <c r="AD9" s="65">
        <f t="shared" si="2"/>
        <v>17.262676501632068</v>
      </c>
      <c r="AE9" s="65">
        <f t="shared" si="2"/>
        <v>17.464249196572979</v>
      </c>
      <c r="AF9" s="65">
        <f t="shared" si="2"/>
        <v>17.720045146669349</v>
      </c>
      <c r="AG9" s="65">
        <f t="shared" si="2"/>
        <v>18.027756377319946</v>
      </c>
      <c r="AH9" s="53"/>
      <c r="AI9" s="2"/>
    </row>
    <row r="10" spans="1:35" ht="9" customHeight="1" x14ac:dyDescent="0.25">
      <c r="A10" s="2"/>
      <c r="B10" s="2"/>
      <c r="C10" s="54">
        <v>7</v>
      </c>
      <c r="D10" s="65">
        <f t="shared" si="0"/>
        <v>28.0178514522438</v>
      </c>
      <c r="E10" s="65">
        <f t="shared" si="0"/>
        <v>27.202941017470888</v>
      </c>
      <c r="F10" s="65">
        <f t="shared" si="0"/>
        <v>26.40075756488817</v>
      </c>
      <c r="G10" s="65">
        <f t="shared" si="0"/>
        <v>25.612496949731394</v>
      </c>
      <c r="H10" s="65">
        <f t="shared" si="0"/>
        <v>24.839484696748443</v>
      </c>
      <c r="I10" s="65">
        <f t="shared" si="0"/>
        <v>24.083189157584592</v>
      </c>
      <c r="J10" s="65">
        <f t="shared" si="0"/>
        <v>23.345235059857504</v>
      </c>
      <c r="K10" s="65">
        <f t="shared" si="0"/>
        <v>22.627416997969522</v>
      </c>
      <c r="L10" s="65">
        <f t="shared" si="0"/>
        <v>21.931712199461309</v>
      </c>
      <c r="M10" s="65">
        <f t="shared" si="0"/>
        <v>21.2602916254693</v>
      </c>
      <c r="N10" s="65">
        <f t="shared" si="1"/>
        <v>20.615528128088304</v>
      </c>
      <c r="O10" s="65">
        <f t="shared" si="1"/>
        <v>20</v>
      </c>
      <c r="P10" s="65">
        <f t="shared" si="1"/>
        <v>19.416487838947599</v>
      </c>
      <c r="Q10" s="65">
        <f t="shared" si="1"/>
        <v>18.867962264113206</v>
      </c>
      <c r="R10" s="65">
        <f t="shared" si="1"/>
        <v>18.357559750685819</v>
      </c>
      <c r="S10" s="65">
        <f t="shared" si="1"/>
        <v>17.888543819998318</v>
      </c>
      <c r="T10" s="65">
        <f t="shared" si="1"/>
        <v>17.464249196572979</v>
      </c>
      <c r="U10" s="65">
        <f t="shared" si="1"/>
        <v>17.088007490635061</v>
      </c>
      <c r="V10" s="65">
        <f t="shared" si="1"/>
        <v>16.763054614240211</v>
      </c>
      <c r="W10" s="65">
        <f t="shared" si="1"/>
        <v>16.492422502470642</v>
      </c>
      <c r="X10" s="65">
        <f t="shared" si="2"/>
        <v>16.278820596099706</v>
      </c>
      <c r="Y10" s="65">
        <f t="shared" si="2"/>
        <v>16.124515496597098</v>
      </c>
      <c r="Z10" s="65">
        <f t="shared" si="2"/>
        <v>16.031219541881399</v>
      </c>
      <c r="AA10" s="65">
        <f t="shared" si="2"/>
        <v>16</v>
      </c>
      <c r="AB10" s="65">
        <f t="shared" si="2"/>
        <v>16.031219541881399</v>
      </c>
      <c r="AC10" s="65">
        <f t="shared" si="2"/>
        <v>16.124515496597098</v>
      </c>
      <c r="AD10" s="65">
        <f t="shared" si="2"/>
        <v>16.278820596099706</v>
      </c>
      <c r="AE10" s="65">
        <f t="shared" si="2"/>
        <v>16.492422502470642</v>
      </c>
      <c r="AF10" s="65">
        <f t="shared" si="2"/>
        <v>16.763054614240211</v>
      </c>
      <c r="AG10" s="65">
        <f t="shared" si="2"/>
        <v>17.088007490635061</v>
      </c>
      <c r="AH10" s="53"/>
      <c r="AI10" s="2"/>
    </row>
    <row r="11" spans="1:35" ht="9" customHeight="1" x14ac:dyDescent="0.25">
      <c r="A11" s="2"/>
      <c r="B11" s="2"/>
      <c r="C11" s="54">
        <v>8</v>
      </c>
      <c r="D11" s="65">
        <f t="shared" si="0"/>
        <v>27.459060435491963</v>
      </c>
      <c r="E11" s="65">
        <f t="shared" si="0"/>
        <v>26.627053911388696</v>
      </c>
      <c r="F11" s="65">
        <f t="shared" si="0"/>
        <v>25.80697580112788</v>
      </c>
      <c r="G11" s="65">
        <f t="shared" si="0"/>
        <v>25</v>
      </c>
      <c r="H11" s="65">
        <f t="shared" si="0"/>
        <v>24.207436873820409</v>
      </c>
      <c r="I11" s="65">
        <f t="shared" si="0"/>
        <v>23.430749027719962</v>
      </c>
      <c r="J11" s="65">
        <f t="shared" si="0"/>
        <v>22.671568097509269</v>
      </c>
      <c r="K11" s="65">
        <f t="shared" si="0"/>
        <v>21.931712199461309</v>
      </c>
      <c r="L11" s="65">
        <f t="shared" si="0"/>
        <v>21.213203435596427</v>
      </c>
      <c r="M11" s="65">
        <f t="shared" si="0"/>
        <v>20.518284528683193</v>
      </c>
      <c r="N11" s="65">
        <f t="shared" si="1"/>
        <v>19.849433241279208</v>
      </c>
      <c r="O11" s="65">
        <f t="shared" si="1"/>
        <v>19.209372712298546</v>
      </c>
      <c r="P11" s="65">
        <f t="shared" si="1"/>
        <v>18.601075237738275</v>
      </c>
      <c r="Q11" s="65">
        <f t="shared" si="1"/>
        <v>18.027756377319946</v>
      </c>
      <c r="R11" s="65">
        <f t="shared" si="1"/>
        <v>17.4928556845359</v>
      </c>
      <c r="S11" s="65">
        <f t="shared" si="1"/>
        <v>17</v>
      </c>
      <c r="T11" s="65">
        <f t="shared" si="1"/>
        <v>16.552945357246848</v>
      </c>
      <c r="U11" s="65">
        <f t="shared" si="1"/>
        <v>16.15549442140351</v>
      </c>
      <c r="V11" s="65">
        <f t="shared" si="1"/>
        <v>15.811388300841896</v>
      </c>
      <c r="W11" s="65">
        <f t="shared" si="1"/>
        <v>15.524174696260024</v>
      </c>
      <c r="X11" s="65">
        <f t="shared" si="2"/>
        <v>15.297058540778355</v>
      </c>
      <c r="Y11" s="65">
        <f t="shared" si="2"/>
        <v>15.132745950421556</v>
      </c>
      <c r="Z11" s="65">
        <f t="shared" si="2"/>
        <v>15.033296378372908</v>
      </c>
      <c r="AA11" s="65">
        <f t="shared" si="2"/>
        <v>15</v>
      </c>
      <c r="AB11" s="65">
        <f t="shared" si="2"/>
        <v>15.033296378372908</v>
      </c>
      <c r="AC11" s="65">
        <f t="shared" si="2"/>
        <v>15.132745950421556</v>
      </c>
      <c r="AD11" s="65">
        <f t="shared" si="2"/>
        <v>15.297058540778355</v>
      </c>
      <c r="AE11" s="65">
        <f t="shared" si="2"/>
        <v>15.524174696260024</v>
      </c>
      <c r="AF11" s="65">
        <f t="shared" si="2"/>
        <v>15.811388300841896</v>
      </c>
      <c r="AG11" s="65">
        <f t="shared" si="2"/>
        <v>16.15549442140351</v>
      </c>
      <c r="AH11" s="53"/>
      <c r="AI11" s="2"/>
    </row>
    <row r="12" spans="1:35" ht="9" customHeight="1" x14ac:dyDescent="0.25">
      <c r="A12" s="2"/>
      <c r="B12" s="2"/>
      <c r="C12" s="54">
        <v>9</v>
      </c>
      <c r="D12" s="65">
        <f t="shared" si="0"/>
        <v>26.92582403567252</v>
      </c>
      <c r="E12" s="65">
        <f t="shared" si="0"/>
        <v>26.076809620810597</v>
      </c>
      <c r="F12" s="65">
        <f t="shared" si="0"/>
        <v>25.238858928247925</v>
      </c>
      <c r="G12" s="65">
        <f t="shared" si="0"/>
        <v>24.413111231467404</v>
      </c>
      <c r="H12" s="65">
        <f t="shared" si="0"/>
        <v>23.600847442411894</v>
      </c>
      <c r="I12" s="65">
        <f t="shared" si="0"/>
        <v>22.803508501982758</v>
      </c>
      <c r="J12" s="65">
        <f t="shared" si="0"/>
        <v>22.022715545545239</v>
      </c>
      <c r="K12" s="65">
        <f t="shared" si="0"/>
        <v>21.2602916254693</v>
      </c>
      <c r="L12" s="65">
        <f t="shared" si="0"/>
        <v>20.518284528683193</v>
      </c>
      <c r="M12" s="65">
        <f t="shared" si="0"/>
        <v>19.798989873223331</v>
      </c>
      <c r="N12" s="65">
        <f t="shared" si="1"/>
        <v>19.104973174542799</v>
      </c>
      <c r="O12" s="65">
        <f t="shared" si="1"/>
        <v>18.439088914585774</v>
      </c>
      <c r="P12" s="65">
        <f t="shared" si="1"/>
        <v>17.804493814764857</v>
      </c>
      <c r="Q12" s="65">
        <f t="shared" si="1"/>
        <v>17.204650534085253</v>
      </c>
      <c r="R12" s="65">
        <f t="shared" si="1"/>
        <v>16.643316977093239</v>
      </c>
      <c r="S12" s="65">
        <f t="shared" si="1"/>
        <v>16.124515496597098</v>
      </c>
      <c r="T12" s="65">
        <f t="shared" si="1"/>
        <v>15.652475842498529</v>
      </c>
      <c r="U12" s="65">
        <f t="shared" si="1"/>
        <v>15.231546211727817</v>
      </c>
      <c r="V12" s="65">
        <f t="shared" si="1"/>
        <v>14.866068747318506</v>
      </c>
      <c r="W12" s="65">
        <f t="shared" si="1"/>
        <v>14.560219778561036</v>
      </c>
      <c r="X12" s="65">
        <f t="shared" si="2"/>
        <v>14.317821063276353</v>
      </c>
      <c r="Y12" s="65">
        <f t="shared" si="2"/>
        <v>14.142135623730951</v>
      </c>
      <c r="Z12" s="65">
        <f t="shared" si="2"/>
        <v>14.035668847618199</v>
      </c>
      <c r="AA12" s="65">
        <f t="shared" si="2"/>
        <v>14</v>
      </c>
      <c r="AB12" s="65">
        <f t="shared" si="2"/>
        <v>14.035668847618199</v>
      </c>
      <c r="AC12" s="65">
        <f t="shared" si="2"/>
        <v>14.142135623730951</v>
      </c>
      <c r="AD12" s="65">
        <f t="shared" si="2"/>
        <v>14.317821063276353</v>
      </c>
      <c r="AE12" s="65">
        <f t="shared" si="2"/>
        <v>14.560219778561036</v>
      </c>
      <c r="AF12" s="65">
        <f t="shared" si="2"/>
        <v>14.866068747318506</v>
      </c>
      <c r="AG12" s="65">
        <f t="shared" si="2"/>
        <v>15.231546211727817</v>
      </c>
      <c r="AH12" s="53"/>
      <c r="AI12" s="2"/>
    </row>
    <row r="13" spans="1:35" ht="9" customHeight="1" x14ac:dyDescent="0.25">
      <c r="A13" s="2"/>
      <c r="B13" s="2"/>
      <c r="C13" s="54">
        <v>10</v>
      </c>
      <c r="D13" s="65">
        <f t="shared" si="0"/>
        <v>26.419689627245813</v>
      </c>
      <c r="E13" s="65">
        <f t="shared" si="0"/>
        <v>25.553864678361276</v>
      </c>
      <c r="F13" s="65">
        <f t="shared" si="0"/>
        <v>24.698178070456937</v>
      </c>
      <c r="G13" s="65">
        <f t="shared" si="0"/>
        <v>23.853720883753127</v>
      </c>
      <c r="H13" s="65">
        <f t="shared" si="0"/>
        <v>23.021728866442675</v>
      </c>
      <c r="I13" s="65">
        <f t="shared" si="0"/>
        <v>22.203603311174518</v>
      </c>
      <c r="J13" s="65">
        <f t="shared" si="0"/>
        <v>21.400934559032695</v>
      </c>
      <c r="K13" s="65">
        <f t="shared" si="0"/>
        <v>20.615528128088304</v>
      </c>
      <c r="L13" s="65">
        <f t="shared" si="0"/>
        <v>19.849433241279208</v>
      </c>
      <c r="M13" s="65">
        <f t="shared" si="0"/>
        <v>19.104973174542799</v>
      </c>
      <c r="N13" s="65">
        <f t="shared" si="1"/>
        <v>18.384776310850235</v>
      </c>
      <c r="O13" s="65">
        <f t="shared" si="1"/>
        <v>17.691806012954132</v>
      </c>
      <c r="P13" s="65">
        <f t="shared" si="1"/>
        <v>17.029386365926403</v>
      </c>
      <c r="Q13" s="65">
        <f t="shared" si="1"/>
        <v>16.401219466856727</v>
      </c>
      <c r="R13" s="65">
        <f t="shared" si="1"/>
        <v>15.811388300841896</v>
      </c>
      <c r="S13" s="65">
        <f t="shared" si="1"/>
        <v>15.264337522473747</v>
      </c>
      <c r="T13" s="65">
        <f t="shared" si="1"/>
        <v>14.7648230602334</v>
      </c>
      <c r="U13" s="65">
        <f t="shared" si="1"/>
        <v>14.317821063276353</v>
      </c>
      <c r="V13" s="65">
        <f t="shared" si="1"/>
        <v>13.928388277184119</v>
      </c>
      <c r="W13" s="65">
        <f t="shared" si="1"/>
        <v>13.601470508735444</v>
      </c>
      <c r="X13" s="65">
        <f t="shared" si="2"/>
        <v>13.341664064126334</v>
      </c>
      <c r="Y13" s="65">
        <f t="shared" si="2"/>
        <v>13.152946437965905</v>
      </c>
      <c r="Z13" s="65">
        <f t="shared" si="2"/>
        <v>13.038404810405298</v>
      </c>
      <c r="AA13" s="65">
        <f t="shared" si="2"/>
        <v>13</v>
      </c>
      <c r="AB13" s="65">
        <f t="shared" si="2"/>
        <v>13.038404810405298</v>
      </c>
      <c r="AC13" s="65">
        <f t="shared" si="2"/>
        <v>13.152946437965905</v>
      </c>
      <c r="AD13" s="65">
        <f t="shared" si="2"/>
        <v>13.341664064126334</v>
      </c>
      <c r="AE13" s="65">
        <f t="shared" si="2"/>
        <v>13.601470508735444</v>
      </c>
      <c r="AF13" s="65">
        <f t="shared" si="2"/>
        <v>13.928388277184119</v>
      </c>
      <c r="AG13" s="65">
        <f t="shared" si="2"/>
        <v>14.317821063276353</v>
      </c>
      <c r="AH13" s="53"/>
      <c r="AI13" s="2"/>
    </row>
    <row r="14" spans="1:35" ht="9" customHeight="1" x14ac:dyDescent="0.25">
      <c r="A14" s="2"/>
      <c r="B14" s="2"/>
      <c r="C14" s="54">
        <v>11</v>
      </c>
      <c r="D14" s="65">
        <f t="shared" ref="D14:M23" si="3">IFERROR(IF(SQRT((D$3-Calc.Left)^2+($C14-Calc.Top)^2)&lt;12,  (INDEX(MazeMatrix,$C14,D$3)*2)+SQRT((D$3-Calc.Left)^2+($C14-Calc.Top)^2), SQRT((D$3-Calc.Left)^2+($C14-Calc.Top)^2)),Player.Direction)</f>
        <v>25.942243542145693</v>
      </c>
      <c r="E14" s="65">
        <f t="shared" si="3"/>
        <v>25.059928172283335</v>
      </c>
      <c r="F14" s="65">
        <f t="shared" si="3"/>
        <v>24.186773244895647</v>
      </c>
      <c r="G14" s="65">
        <f t="shared" si="3"/>
        <v>23.323807579381203</v>
      </c>
      <c r="H14" s="65">
        <f t="shared" si="3"/>
        <v>22.472205054244231</v>
      </c>
      <c r="I14" s="65">
        <f t="shared" si="3"/>
        <v>21.633307652783937</v>
      </c>
      <c r="J14" s="65">
        <f t="shared" si="3"/>
        <v>20.808652046684813</v>
      </c>
      <c r="K14" s="65">
        <f t="shared" si="3"/>
        <v>20</v>
      </c>
      <c r="L14" s="65">
        <f t="shared" si="3"/>
        <v>19.209372712298546</v>
      </c>
      <c r="M14" s="65">
        <f t="shared" si="3"/>
        <v>18.439088914585774</v>
      </c>
      <c r="N14" s="65">
        <f t="shared" ref="N14:W23" si="4">IFERROR(IF(SQRT((N$3-Calc.Left)^2+($C14-Calc.Top)^2)&lt;12,  (INDEX(MazeMatrix,$C14,N$3)*2)+SQRT((N$3-Calc.Left)^2+($C14-Calc.Top)^2), SQRT((N$3-Calc.Left)^2+($C14-Calc.Top)^2)),Player.Direction)</f>
        <v>17.691806012954132</v>
      </c>
      <c r="O14" s="65">
        <f t="shared" si="4"/>
        <v>16.970562748477139</v>
      </c>
      <c r="P14" s="65">
        <f t="shared" si="4"/>
        <v>16.278820596099706</v>
      </c>
      <c r="Q14" s="65">
        <f t="shared" si="4"/>
        <v>15.620499351813308</v>
      </c>
      <c r="R14" s="65">
        <f t="shared" si="4"/>
        <v>15</v>
      </c>
      <c r="S14" s="65">
        <f t="shared" si="4"/>
        <v>14.422205101855956</v>
      </c>
      <c r="T14" s="65">
        <f t="shared" si="4"/>
        <v>13.892443989449804</v>
      </c>
      <c r="U14" s="65">
        <f t="shared" si="4"/>
        <v>13.416407864998739</v>
      </c>
      <c r="V14" s="65">
        <f t="shared" si="4"/>
        <v>13</v>
      </c>
      <c r="W14" s="65">
        <f t="shared" si="4"/>
        <v>12.649110640673518</v>
      </c>
      <c r="X14" s="65">
        <f t="shared" ref="X14:AG23" si="5">IFERROR(IF(SQRT((X$3-Calc.Left)^2+($C14-Calc.Top)^2)&lt;12,  (INDEX(MazeMatrix,$C14,X$3)*2)+SQRT((X$3-Calc.Left)^2+($C14-Calc.Top)^2), SQRT((X$3-Calc.Left)^2+($C14-Calc.Top)^2)),Player.Direction)</f>
        <v>12.369316876852981</v>
      </c>
      <c r="Y14" s="65">
        <f t="shared" si="5"/>
        <v>12.165525060596439</v>
      </c>
      <c r="Z14" s="65">
        <f t="shared" si="5"/>
        <v>12.041594578792296</v>
      </c>
      <c r="AA14" s="65">
        <f t="shared" si="5"/>
        <v>12</v>
      </c>
      <c r="AB14" s="65">
        <f t="shared" si="5"/>
        <v>12.041594578792296</v>
      </c>
      <c r="AC14" s="65">
        <f t="shared" si="5"/>
        <v>12.165525060596439</v>
      </c>
      <c r="AD14" s="65">
        <f t="shared" si="5"/>
        <v>12.369316876852981</v>
      </c>
      <c r="AE14" s="65">
        <f t="shared" si="5"/>
        <v>12.649110640673518</v>
      </c>
      <c r="AF14" s="65">
        <f t="shared" si="5"/>
        <v>13</v>
      </c>
      <c r="AG14" s="65">
        <f t="shared" si="5"/>
        <v>13.416407864998739</v>
      </c>
      <c r="AH14" s="53"/>
      <c r="AI14" s="2"/>
    </row>
    <row r="15" spans="1:35" ht="9" customHeight="1" x14ac:dyDescent="0.25">
      <c r="A15" s="2"/>
      <c r="B15" s="2"/>
      <c r="C15" s="54">
        <v>12</v>
      </c>
      <c r="D15" s="65">
        <f t="shared" si="3"/>
        <v>25.495097567963924</v>
      </c>
      <c r="E15" s="65">
        <f t="shared" si="3"/>
        <v>24.596747752497688</v>
      </c>
      <c r="F15" s="65">
        <f t="shared" si="3"/>
        <v>23.706539182259394</v>
      </c>
      <c r="G15" s="65">
        <f t="shared" si="3"/>
        <v>22.825424421026653</v>
      </c>
      <c r="H15" s="65">
        <f t="shared" si="3"/>
        <v>21.95449840010015</v>
      </c>
      <c r="I15" s="65">
        <f t="shared" si="3"/>
        <v>21.095023109728988</v>
      </c>
      <c r="J15" s="65">
        <f t="shared" si="3"/>
        <v>20.248456731316587</v>
      </c>
      <c r="K15" s="65">
        <f t="shared" si="3"/>
        <v>19.416487838947599</v>
      </c>
      <c r="L15" s="65">
        <f t="shared" si="3"/>
        <v>18.601075237738275</v>
      </c>
      <c r="M15" s="65">
        <f t="shared" si="3"/>
        <v>17.804493814764857</v>
      </c>
      <c r="N15" s="65">
        <f t="shared" si="4"/>
        <v>17.029386365926403</v>
      </c>
      <c r="O15" s="65">
        <f t="shared" si="4"/>
        <v>16.278820596099706</v>
      </c>
      <c r="P15" s="65">
        <f t="shared" si="4"/>
        <v>15.556349186104045</v>
      </c>
      <c r="Q15" s="65">
        <f t="shared" si="4"/>
        <v>14.866068747318506</v>
      </c>
      <c r="R15" s="65">
        <f t="shared" si="4"/>
        <v>14.212670403551895</v>
      </c>
      <c r="S15" s="65">
        <f t="shared" si="4"/>
        <v>13.601470508735444</v>
      </c>
      <c r="T15" s="65">
        <f t="shared" si="4"/>
        <v>13.038404810405298</v>
      </c>
      <c r="U15" s="65">
        <f t="shared" si="4"/>
        <v>12.529964086141668</v>
      </c>
      <c r="V15" s="65">
        <f t="shared" si="4"/>
        <v>12.083045973594572</v>
      </c>
      <c r="W15" s="65">
        <f t="shared" si="4"/>
        <v>13.704699910719626</v>
      </c>
      <c r="X15" s="65">
        <f t="shared" si="5"/>
        <v>13.401754250991379</v>
      </c>
      <c r="Y15" s="65">
        <f t="shared" si="5"/>
        <v>13.180339887498949</v>
      </c>
      <c r="Z15" s="65">
        <f t="shared" si="5"/>
        <v>13.045361017187261</v>
      </c>
      <c r="AA15" s="65">
        <f t="shared" si="5"/>
        <v>13</v>
      </c>
      <c r="AB15" s="65">
        <f t="shared" si="5"/>
        <v>13.045361017187261</v>
      </c>
      <c r="AC15" s="65">
        <f t="shared" si="5"/>
        <v>11.180339887498949</v>
      </c>
      <c r="AD15" s="65">
        <f t="shared" si="5"/>
        <v>13.401754250991379</v>
      </c>
      <c r="AE15" s="65">
        <f t="shared" si="5"/>
        <v>13.704699910719626</v>
      </c>
      <c r="AF15" s="65">
        <f t="shared" si="5"/>
        <v>12.083045973594572</v>
      </c>
      <c r="AG15" s="65">
        <f t="shared" si="5"/>
        <v>12.529964086141668</v>
      </c>
      <c r="AH15" s="53"/>
      <c r="AI15" s="2"/>
    </row>
    <row r="16" spans="1:35" ht="9" customHeight="1" x14ac:dyDescent="0.25">
      <c r="A16" s="2"/>
      <c r="B16" s="2"/>
      <c r="C16" s="54">
        <v>13</v>
      </c>
      <c r="D16" s="65">
        <f t="shared" si="3"/>
        <v>25.079872407968907</v>
      </c>
      <c r="E16" s="65">
        <f t="shared" si="3"/>
        <v>24.166091947189145</v>
      </c>
      <c r="F16" s="65">
        <f t="shared" si="3"/>
        <v>23.259406699226016</v>
      </c>
      <c r="G16" s="65">
        <f t="shared" si="3"/>
        <v>22.360679774997898</v>
      </c>
      <c r="H16" s="65">
        <f t="shared" si="3"/>
        <v>21.470910553583888</v>
      </c>
      <c r="I16" s="65">
        <f t="shared" si="3"/>
        <v>20.591260281974002</v>
      </c>
      <c r="J16" s="65">
        <f t="shared" si="3"/>
        <v>19.723082923316021</v>
      </c>
      <c r="K16" s="65">
        <f t="shared" si="3"/>
        <v>18.867962264113206</v>
      </c>
      <c r="L16" s="65">
        <f t="shared" si="3"/>
        <v>18.027756377319946</v>
      </c>
      <c r="M16" s="65">
        <f t="shared" si="3"/>
        <v>17.204650534085253</v>
      </c>
      <c r="N16" s="65">
        <f t="shared" si="4"/>
        <v>16.401219466856727</v>
      </c>
      <c r="O16" s="65">
        <f t="shared" si="4"/>
        <v>15.620499351813308</v>
      </c>
      <c r="P16" s="65">
        <f t="shared" si="4"/>
        <v>14.866068747318506</v>
      </c>
      <c r="Q16" s="65">
        <f t="shared" si="4"/>
        <v>14.142135623730951</v>
      </c>
      <c r="R16" s="65">
        <f t="shared" si="4"/>
        <v>13.45362404707371</v>
      </c>
      <c r="S16" s="65">
        <f t="shared" si="4"/>
        <v>12.806248474865697</v>
      </c>
      <c r="T16" s="65">
        <f t="shared" si="4"/>
        <v>12.206555615733702</v>
      </c>
      <c r="U16" s="65">
        <f t="shared" si="4"/>
        <v>13.661903789690601</v>
      </c>
      <c r="V16" s="65">
        <f t="shared" si="4"/>
        <v>13.180339887498949</v>
      </c>
      <c r="W16" s="65">
        <f t="shared" si="4"/>
        <v>12.770329614269007</v>
      </c>
      <c r="X16" s="65">
        <f t="shared" si="5"/>
        <v>12.440306508910551</v>
      </c>
      <c r="Y16" s="65">
        <f t="shared" si="5"/>
        <v>12.198039027185569</v>
      </c>
      <c r="Z16" s="65">
        <f t="shared" si="5"/>
        <v>12.04987562112089</v>
      </c>
      <c r="AA16" s="65">
        <f t="shared" si="5"/>
        <v>12</v>
      </c>
      <c r="AB16" s="65">
        <f t="shared" si="5"/>
        <v>12.04987562112089</v>
      </c>
      <c r="AC16" s="65">
        <f t="shared" si="5"/>
        <v>10.198039027185569</v>
      </c>
      <c r="AD16" s="65">
        <f t="shared" si="5"/>
        <v>12.440306508910551</v>
      </c>
      <c r="AE16" s="65">
        <f t="shared" si="5"/>
        <v>12.770329614269007</v>
      </c>
      <c r="AF16" s="65">
        <f t="shared" si="5"/>
        <v>11.180339887498949</v>
      </c>
      <c r="AG16" s="65">
        <f t="shared" si="5"/>
        <v>13.661903789690601</v>
      </c>
      <c r="AH16" s="53"/>
      <c r="AI16" s="2"/>
    </row>
    <row r="17" spans="1:35" ht="9" customHeight="1" x14ac:dyDescent="0.25">
      <c r="A17" s="2"/>
      <c r="B17" s="2"/>
      <c r="C17" s="54">
        <v>14</v>
      </c>
      <c r="D17" s="65">
        <f t="shared" si="3"/>
        <v>24.698178070456937</v>
      </c>
      <c r="E17" s="65">
        <f t="shared" si="3"/>
        <v>23.769728648009426</v>
      </c>
      <c r="F17" s="65">
        <f t="shared" si="3"/>
        <v>22.847319317591726</v>
      </c>
      <c r="G17" s="65">
        <f t="shared" si="3"/>
        <v>21.931712199461309</v>
      </c>
      <c r="H17" s="65">
        <f t="shared" si="3"/>
        <v>21.023796041628639</v>
      </c>
      <c r="I17" s="65">
        <f t="shared" si="3"/>
        <v>20.124611797498108</v>
      </c>
      <c r="J17" s="65">
        <f t="shared" si="3"/>
        <v>19.235384061671343</v>
      </c>
      <c r="K17" s="65">
        <f t="shared" si="3"/>
        <v>18.357559750685819</v>
      </c>
      <c r="L17" s="65">
        <f t="shared" si="3"/>
        <v>17.4928556845359</v>
      </c>
      <c r="M17" s="65">
        <f t="shared" si="3"/>
        <v>16.643316977093239</v>
      </c>
      <c r="N17" s="65">
        <f t="shared" si="4"/>
        <v>15.811388300841896</v>
      </c>
      <c r="O17" s="65">
        <f t="shared" si="4"/>
        <v>15</v>
      </c>
      <c r="P17" s="65">
        <f t="shared" si="4"/>
        <v>14.212670403551895</v>
      </c>
      <c r="Q17" s="65">
        <f t="shared" si="4"/>
        <v>13.45362404707371</v>
      </c>
      <c r="R17" s="65">
        <f t="shared" si="4"/>
        <v>12.727922061357855</v>
      </c>
      <c r="S17" s="65">
        <f t="shared" si="4"/>
        <v>12.041594578792296</v>
      </c>
      <c r="T17" s="65">
        <f t="shared" si="4"/>
        <v>11.401754250991379</v>
      </c>
      <c r="U17" s="65">
        <f t="shared" si="4"/>
        <v>10.816653826391969</v>
      </c>
      <c r="V17" s="65">
        <f t="shared" si="4"/>
        <v>10.295630140987001</v>
      </c>
      <c r="W17" s="65">
        <f t="shared" si="4"/>
        <v>9.8488578017961039</v>
      </c>
      <c r="X17" s="65">
        <f t="shared" si="5"/>
        <v>9.4868329805051381</v>
      </c>
      <c r="Y17" s="65">
        <f t="shared" si="5"/>
        <v>9.2195444572928871</v>
      </c>
      <c r="Z17" s="65">
        <f t="shared" si="5"/>
        <v>9.0553851381374173</v>
      </c>
      <c r="AA17" s="65">
        <f t="shared" si="5"/>
        <v>11</v>
      </c>
      <c r="AB17" s="65">
        <f t="shared" si="5"/>
        <v>11.055385138137417</v>
      </c>
      <c r="AC17" s="65">
        <f t="shared" si="5"/>
        <v>9.2195444572928871</v>
      </c>
      <c r="AD17" s="65">
        <f t="shared" si="5"/>
        <v>11.486832980505138</v>
      </c>
      <c r="AE17" s="65">
        <f t="shared" si="5"/>
        <v>11.848857801796104</v>
      </c>
      <c r="AF17" s="65">
        <f t="shared" si="5"/>
        <v>10.295630140987001</v>
      </c>
      <c r="AG17" s="65">
        <f t="shared" si="5"/>
        <v>12.816653826391969</v>
      </c>
      <c r="AH17" s="53"/>
      <c r="AI17" s="2"/>
    </row>
    <row r="18" spans="1:35" ht="9" customHeight="1" x14ac:dyDescent="0.25">
      <c r="A18" s="2"/>
      <c r="B18" s="2"/>
      <c r="C18" s="54">
        <v>15</v>
      </c>
      <c r="D18" s="65">
        <f t="shared" si="3"/>
        <v>24.351591323771842</v>
      </c>
      <c r="E18" s="65">
        <f t="shared" si="3"/>
        <v>23.409399821439251</v>
      </c>
      <c r="F18" s="65">
        <f t="shared" si="3"/>
        <v>22.472205054244231</v>
      </c>
      <c r="G18" s="65">
        <f t="shared" si="3"/>
        <v>21.540659228538015</v>
      </c>
      <c r="H18" s="65">
        <f t="shared" si="3"/>
        <v>20.615528128088304</v>
      </c>
      <c r="I18" s="65">
        <f t="shared" si="3"/>
        <v>19.697715603592208</v>
      </c>
      <c r="J18" s="65">
        <f t="shared" si="3"/>
        <v>18.788294228055936</v>
      </c>
      <c r="K18" s="65">
        <f t="shared" si="3"/>
        <v>17.888543819998318</v>
      </c>
      <c r="L18" s="65">
        <f t="shared" si="3"/>
        <v>17</v>
      </c>
      <c r="M18" s="65">
        <f t="shared" si="3"/>
        <v>16.124515496597098</v>
      </c>
      <c r="N18" s="65">
        <f t="shared" si="4"/>
        <v>15.264337522473747</v>
      </c>
      <c r="O18" s="65">
        <f t="shared" si="4"/>
        <v>14.422205101855956</v>
      </c>
      <c r="P18" s="65">
        <f t="shared" si="4"/>
        <v>13.601470508735444</v>
      </c>
      <c r="Q18" s="65">
        <f t="shared" si="4"/>
        <v>12.806248474865697</v>
      </c>
      <c r="R18" s="65">
        <f t="shared" si="4"/>
        <v>12.041594578792296</v>
      </c>
      <c r="S18" s="65">
        <f t="shared" si="4"/>
        <v>13.313708498984761</v>
      </c>
      <c r="T18" s="65">
        <f t="shared" si="4"/>
        <v>12.63014581273465</v>
      </c>
      <c r="U18" s="65">
        <f t="shared" si="4"/>
        <v>12</v>
      </c>
      <c r="V18" s="65">
        <f t="shared" si="4"/>
        <v>11.433981132056603</v>
      </c>
      <c r="W18" s="65">
        <f t="shared" si="4"/>
        <v>10.944271909999159</v>
      </c>
      <c r="X18" s="65">
        <f t="shared" si="5"/>
        <v>10.54400374531753</v>
      </c>
      <c r="Y18" s="65">
        <f t="shared" si="5"/>
        <v>10.246211251235321</v>
      </c>
      <c r="Z18" s="65">
        <f t="shared" si="5"/>
        <v>8.0622577482985491</v>
      </c>
      <c r="AA18" s="65">
        <f t="shared" si="5"/>
        <v>10</v>
      </c>
      <c r="AB18" s="65">
        <f t="shared" si="5"/>
        <v>10.062257748298549</v>
      </c>
      <c r="AC18" s="65">
        <f t="shared" si="5"/>
        <v>8.2462112512353212</v>
      </c>
      <c r="AD18" s="65">
        <f t="shared" si="5"/>
        <v>10.54400374531753</v>
      </c>
      <c r="AE18" s="65">
        <f t="shared" si="5"/>
        <v>10.944271909999159</v>
      </c>
      <c r="AF18" s="65">
        <f t="shared" si="5"/>
        <v>9.4339811320566032</v>
      </c>
      <c r="AG18" s="65">
        <f t="shared" si="5"/>
        <v>12</v>
      </c>
      <c r="AH18" s="53"/>
      <c r="AI18" s="2"/>
    </row>
    <row r="19" spans="1:35" ht="9" customHeight="1" x14ac:dyDescent="0.25">
      <c r="A19" s="2"/>
      <c r="B19" s="2"/>
      <c r="C19" s="54">
        <v>16</v>
      </c>
      <c r="D19" s="65">
        <f t="shared" si="3"/>
        <v>24.041630560342615</v>
      </c>
      <c r="E19" s="65">
        <f t="shared" si="3"/>
        <v>23.086792761230392</v>
      </c>
      <c r="F19" s="65">
        <f t="shared" si="3"/>
        <v>22.135943621178654</v>
      </c>
      <c r="G19" s="65">
        <f t="shared" si="3"/>
        <v>21.189620100417091</v>
      </c>
      <c r="H19" s="65">
        <f t="shared" si="3"/>
        <v>20.248456731316587</v>
      </c>
      <c r="I19" s="65">
        <f t="shared" si="3"/>
        <v>19.313207915827967</v>
      </c>
      <c r="J19" s="65">
        <f t="shared" si="3"/>
        <v>18.384776310850235</v>
      </c>
      <c r="K19" s="65">
        <f t="shared" si="3"/>
        <v>17.464249196572979</v>
      </c>
      <c r="L19" s="65">
        <f t="shared" si="3"/>
        <v>16.552945357246848</v>
      </c>
      <c r="M19" s="65">
        <f t="shared" si="3"/>
        <v>15.652475842498529</v>
      </c>
      <c r="N19" s="65">
        <f t="shared" si="4"/>
        <v>14.7648230602334</v>
      </c>
      <c r="O19" s="65">
        <f t="shared" si="4"/>
        <v>13.892443989449804</v>
      </c>
      <c r="P19" s="65">
        <f t="shared" si="4"/>
        <v>13.038404810405298</v>
      </c>
      <c r="Q19" s="65">
        <f t="shared" si="4"/>
        <v>12.206555615733702</v>
      </c>
      <c r="R19" s="65">
        <f t="shared" si="4"/>
        <v>13.401754250991379</v>
      </c>
      <c r="S19" s="65">
        <f t="shared" si="4"/>
        <v>12.63014581273465</v>
      </c>
      <c r="T19" s="65">
        <f t="shared" si="4"/>
        <v>11.899494936611665</v>
      </c>
      <c r="U19" s="65">
        <f t="shared" si="4"/>
        <v>11.219544457292887</v>
      </c>
      <c r="V19" s="65">
        <f t="shared" si="4"/>
        <v>10.602325267042627</v>
      </c>
      <c r="W19" s="65">
        <f t="shared" si="4"/>
        <v>10.062257748298549</v>
      </c>
      <c r="X19" s="65">
        <f t="shared" si="5"/>
        <v>9.6157731058639087</v>
      </c>
      <c r="Y19" s="65">
        <f t="shared" si="5"/>
        <v>9.2801098892805172</v>
      </c>
      <c r="Z19" s="65">
        <f t="shared" si="5"/>
        <v>7.0710678118654755</v>
      </c>
      <c r="AA19" s="65">
        <f t="shared" si="5"/>
        <v>9</v>
      </c>
      <c r="AB19" s="65">
        <f t="shared" si="5"/>
        <v>9.0710678118654755</v>
      </c>
      <c r="AC19" s="65">
        <f t="shared" si="5"/>
        <v>7.2801098892805181</v>
      </c>
      <c r="AD19" s="65">
        <f t="shared" si="5"/>
        <v>9.6157731058639087</v>
      </c>
      <c r="AE19" s="65">
        <f t="shared" si="5"/>
        <v>10.062257748298549</v>
      </c>
      <c r="AF19" s="65">
        <f t="shared" si="5"/>
        <v>8.6023252670426267</v>
      </c>
      <c r="AG19" s="65">
        <f t="shared" si="5"/>
        <v>11.219544457292887</v>
      </c>
      <c r="AH19" s="53"/>
      <c r="AI19" s="2"/>
    </row>
    <row r="20" spans="1:35" ht="9" customHeight="1" x14ac:dyDescent="0.25">
      <c r="A20" s="2"/>
      <c r="B20" s="2"/>
      <c r="C20" s="54">
        <v>17</v>
      </c>
      <c r="D20" s="65">
        <f t="shared" si="3"/>
        <v>23.769728648009426</v>
      </c>
      <c r="E20" s="65">
        <f t="shared" si="3"/>
        <v>22.803508501982758</v>
      </c>
      <c r="F20" s="65">
        <f t="shared" si="3"/>
        <v>21.840329667841555</v>
      </c>
      <c r="G20" s="65">
        <f t="shared" si="3"/>
        <v>20.880613017821101</v>
      </c>
      <c r="H20" s="65">
        <f t="shared" si="3"/>
        <v>19.924858845171276</v>
      </c>
      <c r="I20" s="65">
        <f t="shared" si="3"/>
        <v>18.973665961010276</v>
      </c>
      <c r="J20" s="65">
        <f t="shared" si="3"/>
        <v>18.027756377319946</v>
      </c>
      <c r="K20" s="65">
        <f t="shared" si="3"/>
        <v>17.088007490635061</v>
      </c>
      <c r="L20" s="65">
        <f t="shared" si="3"/>
        <v>16.15549442140351</v>
      </c>
      <c r="M20" s="65">
        <f t="shared" si="3"/>
        <v>15.231546211727817</v>
      </c>
      <c r="N20" s="65">
        <f t="shared" si="4"/>
        <v>14.317821063276353</v>
      </c>
      <c r="O20" s="65">
        <f t="shared" si="4"/>
        <v>13.416407864998739</v>
      </c>
      <c r="P20" s="65">
        <f t="shared" si="4"/>
        <v>12.529964086141668</v>
      </c>
      <c r="Q20" s="65">
        <f t="shared" si="4"/>
        <v>11.661903789690601</v>
      </c>
      <c r="R20" s="65">
        <f t="shared" si="4"/>
        <v>10.816653826391969</v>
      </c>
      <c r="S20" s="65">
        <f t="shared" si="4"/>
        <v>10</v>
      </c>
      <c r="T20" s="65">
        <f t="shared" si="4"/>
        <v>9.2195444572928871</v>
      </c>
      <c r="U20" s="65">
        <f t="shared" si="4"/>
        <v>8.4852813742385695</v>
      </c>
      <c r="V20" s="65">
        <f t="shared" si="4"/>
        <v>7.810249675906654</v>
      </c>
      <c r="W20" s="65">
        <f t="shared" si="4"/>
        <v>7.2111025509279782</v>
      </c>
      <c r="X20" s="65">
        <f t="shared" si="5"/>
        <v>6.7082039324993694</v>
      </c>
      <c r="Y20" s="65">
        <f t="shared" si="5"/>
        <v>6.324555320336759</v>
      </c>
      <c r="Z20" s="65">
        <f t="shared" si="5"/>
        <v>6.0827625302982193</v>
      </c>
      <c r="AA20" s="65">
        <f t="shared" si="5"/>
        <v>6</v>
      </c>
      <c r="AB20" s="65">
        <f t="shared" si="5"/>
        <v>6.0827625302982193</v>
      </c>
      <c r="AC20" s="65">
        <f t="shared" si="5"/>
        <v>6.324555320336759</v>
      </c>
      <c r="AD20" s="65">
        <f t="shared" si="5"/>
        <v>6.7082039324993694</v>
      </c>
      <c r="AE20" s="65">
        <f t="shared" si="5"/>
        <v>7.2111025509279782</v>
      </c>
      <c r="AF20" s="65">
        <f t="shared" si="5"/>
        <v>7.810249675906654</v>
      </c>
      <c r="AG20" s="65">
        <f t="shared" si="5"/>
        <v>10.48528137423857</v>
      </c>
      <c r="AH20" s="53"/>
      <c r="AI20" s="2"/>
    </row>
    <row r="21" spans="1:35" ht="9" customHeight="1" x14ac:dyDescent="0.25">
      <c r="A21" s="2"/>
      <c r="B21" s="2"/>
      <c r="C21" s="54">
        <v>18</v>
      </c>
      <c r="D21" s="65">
        <f t="shared" si="3"/>
        <v>23.53720459187964</v>
      </c>
      <c r="E21" s="65">
        <f t="shared" si="3"/>
        <v>22.561028345356956</v>
      </c>
      <c r="F21" s="65">
        <f t="shared" si="3"/>
        <v>21.587033144922902</v>
      </c>
      <c r="G21" s="65">
        <f t="shared" si="3"/>
        <v>20.615528128088304</v>
      </c>
      <c r="H21" s="65">
        <f t="shared" si="3"/>
        <v>19.646882704388499</v>
      </c>
      <c r="I21" s="65">
        <f t="shared" si="3"/>
        <v>18.681541692269406</v>
      </c>
      <c r="J21" s="65">
        <f t="shared" si="3"/>
        <v>17.720045146669349</v>
      </c>
      <c r="K21" s="65">
        <f t="shared" si="3"/>
        <v>16.763054614240211</v>
      </c>
      <c r="L21" s="65">
        <f t="shared" si="3"/>
        <v>15.811388300841896</v>
      </c>
      <c r="M21" s="65">
        <f t="shared" si="3"/>
        <v>14.866068747318506</v>
      </c>
      <c r="N21" s="65">
        <f t="shared" si="4"/>
        <v>13.928388277184119</v>
      </c>
      <c r="O21" s="65">
        <f t="shared" si="4"/>
        <v>13</v>
      </c>
      <c r="P21" s="65">
        <f t="shared" si="4"/>
        <v>12.083045973594572</v>
      </c>
      <c r="Q21" s="65">
        <f t="shared" si="4"/>
        <v>11.180339887498949</v>
      </c>
      <c r="R21" s="65">
        <f t="shared" si="4"/>
        <v>12.295630140987001</v>
      </c>
      <c r="S21" s="65">
        <f t="shared" si="4"/>
        <v>11.433981132056603</v>
      </c>
      <c r="T21" s="65">
        <f t="shared" si="4"/>
        <v>10.602325267042627</v>
      </c>
      <c r="U21" s="65">
        <f t="shared" si="4"/>
        <v>9.810249675906654</v>
      </c>
      <c r="V21" s="65">
        <f t="shared" si="4"/>
        <v>9.0710678118654755</v>
      </c>
      <c r="W21" s="65">
        <f t="shared" si="4"/>
        <v>8.4031242374328485</v>
      </c>
      <c r="X21" s="65">
        <f t="shared" si="5"/>
        <v>7.8309518948453007</v>
      </c>
      <c r="Y21" s="65">
        <f t="shared" si="5"/>
        <v>7.3851648071345037</v>
      </c>
      <c r="Z21" s="65">
        <f t="shared" si="5"/>
        <v>5.0990195135927845</v>
      </c>
      <c r="AA21" s="65">
        <f t="shared" si="5"/>
        <v>7</v>
      </c>
      <c r="AB21" s="65">
        <f t="shared" si="5"/>
        <v>7.0990195135927845</v>
      </c>
      <c r="AC21" s="65">
        <f t="shared" si="5"/>
        <v>7.3851648071345037</v>
      </c>
      <c r="AD21" s="65">
        <f t="shared" si="5"/>
        <v>7.8309518948453007</v>
      </c>
      <c r="AE21" s="65">
        <f t="shared" si="5"/>
        <v>8.4031242374328485</v>
      </c>
      <c r="AF21" s="65">
        <f t="shared" si="5"/>
        <v>9.0710678118654755</v>
      </c>
      <c r="AG21" s="65">
        <f t="shared" si="5"/>
        <v>9.810249675906654</v>
      </c>
      <c r="AH21" s="53"/>
      <c r="AI21" s="2"/>
    </row>
    <row r="22" spans="1:35" ht="9" customHeight="1" x14ac:dyDescent="0.25">
      <c r="A22" s="2"/>
      <c r="B22" s="2"/>
      <c r="C22" s="54">
        <v>19</v>
      </c>
      <c r="D22" s="65">
        <f t="shared" si="3"/>
        <v>23.345235059857504</v>
      </c>
      <c r="E22" s="65">
        <f t="shared" si="3"/>
        <v>22.360679774997898</v>
      </c>
      <c r="F22" s="65">
        <f t="shared" si="3"/>
        <v>21.377558326431949</v>
      </c>
      <c r="G22" s="65">
        <f t="shared" si="3"/>
        <v>20.396078054371138</v>
      </c>
      <c r="H22" s="65">
        <f t="shared" si="3"/>
        <v>19.416487838947599</v>
      </c>
      <c r="I22" s="65">
        <f t="shared" si="3"/>
        <v>18.439088914585774</v>
      </c>
      <c r="J22" s="65">
        <f t="shared" si="3"/>
        <v>17.464249196572979</v>
      </c>
      <c r="K22" s="65">
        <f t="shared" si="3"/>
        <v>16.492422502470642</v>
      </c>
      <c r="L22" s="65">
        <f t="shared" si="3"/>
        <v>15.524174696260024</v>
      </c>
      <c r="M22" s="65">
        <f t="shared" si="3"/>
        <v>14.560219778561036</v>
      </c>
      <c r="N22" s="65">
        <f t="shared" si="4"/>
        <v>13.601470508735444</v>
      </c>
      <c r="O22" s="65">
        <f t="shared" si="4"/>
        <v>12.649110640673518</v>
      </c>
      <c r="P22" s="65">
        <f t="shared" si="4"/>
        <v>13.704699910719626</v>
      </c>
      <c r="Q22" s="65">
        <f t="shared" si="4"/>
        <v>10.770329614269007</v>
      </c>
      <c r="R22" s="65">
        <f t="shared" si="4"/>
        <v>11.848857801796104</v>
      </c>
      <c r="S22" s="65">
        <f t="shared" si="4"/>
        <v>10.944271909999159</v>
      </c>
      <c r="T22" s="65">
        <f t="shared" si="4"/>
        <v>10.062257748298549</v>
      </c>
      <c r="U22" s="65">
        <f t="shared" si="4"/>
        <v>9.2111025509279791</v>
      </c>
      <c r="V22" s="65">
        <f t="shared" si="4"/>
        <v>8.4031242374328485</v>
      </c>
      <c r="W22" s="65">
        <f t="shared" si="4"/>
        <v>7.6568542494923806</v>
      </c>
      <c r="X22" s="65">
        <f t="shared" si="5"/>
        <v>7</v>
      </c>
      <c r="Y22" s="65">
        <f t="shared" si="5"/>
        <v>6.4721359549995796</v>
      </c>
      <c r="Z22" s="65">
        <f t="shared" si="5"/>
        <v>4.1231056256176606</v>
      </c>
      <c r="AA22" s="65">
        <f t="shared" si="5"/>
        <v>6</v>
      </c>
      <c r="AB22" s="65">
        <f t="shared" si="5"/>
        <v>6.1231056256176606</v>
      </c>
      <c r="AC22" s="65">
        <f t="shared" si="5"/>
        <v>6.4721359549995796</v>
      </c>
      <c r="AD22" s="65">
        <f t="shared" si="5"/>
        <v>7</v>
      </c>
      <c r="AE22" s="65">
        <f t="shared" si="5"/>
        <v>7.6568542494923806</v>
      </c>
      <c r="AF22" s="65">
        <f t="shared" si="5"/>
        <v>8.4031242374328485</v>
      </c>
      <c r="AG22" s="65">
        <f t="shared" si="5"/>
        <v>9.2111025509279791</v>
      </c>
      <c r="AH22" s="53"/>
      <c r="AI22" s="2"/>
    </row>
    <row r="23" spans="1:35" ht="9" customHeight="1" x14ac:dyDescent="0.25">
      <c r="A23" s="2"/>
      <c r="B23" s="2"/>
      <c r="C23" s="54">
        <v>20</v>
      </c>
      <c r="D23" s="65">
        <f t="shared" si="3"/>
        <v>23.194827009486403</v>
      </c>
      <c r="E23" s="65">
        <f t="shared" si="3"/>
        <v>22.203603311174518</v>
      </c>
      <c r="F23" s="65">
        <f t="shared" si="3"/>
        <v>21.213203435596427</v>
      </c>
      <c r="G23" s="65">
        <f t="shared" si="3"/>
        <v>20.223748416156685</v>
      </c>
      <c r="H23" s="65">
        <f t="shared" si="3"/>
        <v>19.235384061671343</v>
      </c>
      <c r="I23" s="65">
        <f t="shared" si="3"/>
        <v>18.248287590894659</v>
      </c>
      <c r="J23" s="65">
        <f t="shared" si="3"/>
        <v>17.262676501632068</v>
      </c>
      <c r="K23" s="65">
        <f t="shared" si="3"/>
        <v>16.278820596099706</v>
      </c>
      <c r="L23" s="65">
        <f t="shared" si="3"/>
        <v>15.297058540778355</v>
      </c>
      <c r="M23" s="65">
        <f t="shared" si="3"/>
        <v>14.317821063276353</v>
      </c>
      <c r="N23" s="65">
        <f t="shared" si="4"/>
        <v>13.341664064126334</v>
      </c>
      <c r="O23" s="65">
        <f t="shared" si="4"/>
        <v>12.369316876852981</v>
      </c>
      <c r="P23" s="65">
        <f t="shared" si="4"/>
        <v>13.401754250991379</v>
      </c>
      <c r="Q23" s="65">
        <f t="shared" si="4"/>
        <v>10.440306508910551</v>
      </c>
      <c r="R23" s="65">
        <f t="shared" si="4"/>
        <v>9.4868329805051381</v>
      </c>
      <c r="S23" s="65">
        <f t="shared" si="4"/>
        <v>8.5440037453175304</v>
      </c>
      <c r="T23" s="65">
        <f t="shared" si="4"/>
        <v>7.6157731058639087</v>
      </c>
      <c r="U23" s="65">
        <f t="shared" si="4"/>
        <v>6.7082039324993694</v>
      </c>
      <c r="V23" s="65">
        <f t="shared" si="4"/>
        <v>5.8309518948453007</v>
      </c>
      <c r="W23" s="65">
        <f t="shared" si="4"/>
        <v>5</v>
      </c>
      <c r="X23" s="65">
        <f t="shared" si="5"/>
        <v>6.2426406871192848</v>
      </c>
      <c r="Y23" s="65">
        <f t="shared" si="5"/>
        <v>5.6055512754639896</v>
      </c>
      <c r="Z23" s="65">
        <f t="shared" si="5"/>
        <v>3.1622776601683795</v>
      </c>
      <c r="AA23" s="65">
        <f t="shared" si="5"/>
        <v>5</v>
      </c>
      <c r="AB23" s="65">
        <f t="shared" si="5"/>
        <v>5.16227766016838</v>
      </c>
      <c r="AC23" s="65">
        <f t="shared" si="5"/>
        <v>3.6055512754639891</v>
      </c>
      <c r="AD23" s="65">
        <f t="shared" si="5"/>
        <v>4.2426406871192848</v>
      </c>
      <c r="AE23" s="65">
        <f t="shared" si="5"/>
        <v>5</v>
      </c>
      <c r="AF23" s="65">
        <f t="shared" si="5"/>
        <v>5.8309518948453007</v>
      </c>
      <c r="AG23" s="65">
        <f t="shared" si="5"/>
        <v>8.7082039324993694</v>
      </c>
      <c r="AH23" s="53"/>
      <c r="AI23" s="2"/>
    </row>
    <row r="24" spans="1:35" ht="9" customHeight="1" x14ac:dyDescent="0.25">
      <c r="A24" s="2"/>
      <c r="B24" s="2"/>
      <c r="C24" s="54">
        <v>21</v>
      </c>
      <c r="D24" s="65">
        <f t="shared" ref="D24:M33" si="6">IFERROR(IF(SQRT((D$3-Calc.Left)^2+($C24-Calc.Top)^2)&lt;12,  (INDEX(MazeMatrix,$C24,D$3)*2)+SQRT((D$3-Calc.Left)^2+($C24-Calc.Top)^2), SQRT((D$3-Calc.Left)^2+($C24-Calc.Top)^2)),Player.Direction)</f>
        <v>23.086792761230392</v>
      </c>
      <c r="E24" s="65">
        <f t="shared" si="6"/>
        <v>22.090722034374522</v>
      </c>
      <c r="F24" s="65">
        <f t="shared" si="6"/>
        <v>21.095023109728988</v>
      </c>
      <c r="G24" s="65">
        <f t="shared" si="6"/>
        <v>20.09975124224178</v>
      </c>
      <c r="H24" s="65">
        <f t="shared" si="6"/>
        <v>19.104973174542799</v>
      </c>
      <c r="I24" s="65">
        <f t="shared" si="6"/>
        <v>18.110770276274835</v>
      </c>
      <c r="J24" s="65">
        <f t="shared" si="6"/>
        <v>17.11724276862369</v>
      </c>
      <c r="K24" s="65">
        <f t="shared" si="6"/>
        <v>16.124515496597098</v>
      </c>
      <c r="L24" s="65">
        <f t="shared" si="6"/>
        <v>15.132745950421556</v>
      </c>
      <c r="M24" s="65">
        <f t="shared" si="6"/>
        <v>14.142135623730951</v>
      </c>
      <c r="N24" s="65">
        <f t="shared" ref="N24:W33" si="7">IFERROR(IF(SQRT((N$3-Calc.Left)^2+($C24-Calc.Top)^2)&lt;12,  (INDEX(MazeMatrix,$C24,N$3)*2)+SQRT((N$3-Calc.Left)^2+($C24-Calc.Top)^2), SQRT((N$3-Calc.Left)^2+($C24-Calc.Top)^2)),Player.Direction)</f>
        <v>13.152946437965905</v>
      </c>
      <c r="O24" s="65">
        <f t="shared" si="7"/>
        <v>12.165525060596439</v>
      </c>
      <c r="P24" s="65">
        <f t="shared" si="7"/>
        <v>13.180339887498949</v>
      </c>
      <c r="Q24" s="65">
        <f t="shared" si="7"/>
        <v>10.198039027185569</v>
      </c>
      <c r="R24" s="65">
        <f t="shared" si="7"/>
        <v>11.219544457292887</v>
      </c>
      <c r="S24" s="65">
        <f t="shared" si="7"/>
        <v>10.246211251235321</v>
      </c>
      <c r="T24" s="65">
        <f t="shared" si="7"/>
        <v>7.2801098892805181</v>
      </c>
      <c r="U24" s="65">
        <f t="shared" si="7"/>
        <v>8.3245553203367599</v>
      </c>
      <c r="V24" s="65">
        <f t="shared" si="7"/>
        <v>7.3851648071345037</v>
      </c>
      <c r="W24" s="65">
        <f t="shared" si="7"/>
        <v>4.4721359549995796</v>
      </c>
      <c r="X24" s="65">
        <f t="shared" ref="X24:AG33" si="8">IFERROR(IF(SQRT((X$3-Calc.Left)^2+($C24-Calc.Top)^2)&lt;12,  (INDEX(MazeMatrix,$C24,X$3)*2)+SQRT((X$3-Calc.Left)^2+($C24-Calc.Top)^2), SQRT((X$3-Calc.Left)^2+($C24-Calc.Top)^2)),Player.Direction)</f>
        <v>5.6055512754639896</v>
      </c>
      <c r="Y24" s="65">
        <f t="shared" si="8"/>
        <v>4.8284271247461898</v>
      </c>
      <c r="Z24" s="65">
        <f t="shared" si="8"/>
        <v>2.2360679774997898</v>
      </c>
      <c r="AA24" s="65">
        <f t="shared" si="8"/>
        <v>4</v>
      </c>
      <c r="AB24" s="65">
        <f t="shared" si="8"/>
        <v>4.2360679774997898</v>
      </c>
      <c r="AC24" s="65">
        <f t="shared" si="8"/>
        <v>2.8284271247461903</v>
      </c>
      <c r="AD24" s="65">
        <f t="shared" si="8"/>
        <v>5.6055512754639896</v>
      </c>
      <c r="AE24" s="65">
        <f t="shared" si="8"/>
        <v>6.4721359549995796</v>
      </c>
      <c r="AF24" s="65">
        <f t="shared" si="8"/>
        <v>5.3851648071345037</v>
      </c>
      <c r="AG24" s="65">
        <f t="shared" si="8"/>
        <v>8.3245553203367599</v>
      </c>
      <c r="AH24" s="53"/>
      <c r="AI24" s="2"/>
    </row>
    <row r="25" spans="1:35" ht="9" customHeight="1" x14ac:dyDescent="0.25">
      <c r="A25" s="2"/>
      <c r="B25" s="2"/>
      <c r="C25" s="54">
        <v>22</v>
      </c>
      <c r="D25" s="65">
        <f t="shared" si="6"/>
        <v>23.021728866442675</v>
      </c>
      <c r="E25" s="65">
        <f t="shared" si="6"/>
        <v>22.022715545545239</v>
      </c>
      <c r="F25" s="65">
        <f t="shared" si="6"/>
        <v>21.023796041628639</v>
      </c>
      <c r="G25" s="65">
        <f t="shared" si="6"/>
        <v>20.024984394500787</v>
      </c>
      <c r="H25" s="65">
        <f t="shared" si="6"/>
        <v>19.026297590440446</v>
      </c>
      <c r="I25" s="65">
        <f t="shared" si="6"/>
        <v>18.027756377319946</v>
      </c>
      <c r="J25" s="65">
        <f t="shared" si="6"/>
        <v>17.029386365926403</v>
      </c>
      <c r="K25" s="65">
        <f t="shared" si="6"/>
        <v>16.031219541881399</v>
      </c>
      <c r="L25" s="65">
        <f t="shared" si="6"/>
        <v>15.033296378372908</v>
      </c>
      <c r="M25" s="65">
        <f t="shared" si="6"/>
        <v>14.035668847618199</v>
      </c>
      <c r="N25" s="65">
        <f t="shared" si="7"/>
        <v>13.038404810405298</v>
      </c>
      <c r="O25" s="65">
        <f t="shared" si="7"/>
        <v>12.041594578792296</v>
      </c>
      <c r="P25" s="65">
        <f t="shared" si="7"/>
        <v>13.045361017187261</v>
      </c>
      <c r="Q25" s="65">
        <f t="shared" si="7"/>
        <v>10.04987562112089</v>
      </c>
      <c r="R25" s="65">
        <f t="shared" si="7"/>
        <v>11.055385138137417</v>
      </c>
      <c r="S25" s="65">
        <f t="shared" si="7"/>
        <v>10.062257748298549</v>
      </c>
      <c r="T25" s="65">
        <f t="shared" si="7"/>
        <v>7.0710678118654755</v>
      </c>
      <c r="U25" s="65">
        <f t="shared" si="7"/>
        <v>8.0827625302982185</v>
      </c>
      <c r="V25" s="65">
        <f t="shared" si="7"/>
        <v>7.0990195135927845</v>
      </c>
      <c r="W25" s="65">
        <f t="shared" si="7"/>
        <v>4.1231056256176606</v>
      </c>
      <c r="X25" s="65">
        <f t="shared" si="8"/>
        <v>5.16227766016838</v>
      </c>
      <c r="Y25" s="65">
        <f t="shared" si="8"/>
        <v>4.2360679774997898</v>
      </c>
      <c r="Z25" s="65">
        <f t="shared" si="8"/>
        <v>1.4142135623730951</v>
      </c>
      <c r="AA25" s="65">
        <f t="shared" si="8"/>
        <v>3</v>
      </c>
      <c r="AB25" s="65">
        <f t="shared" si="8"/>
        <v>3.4142135623730949</v>
      </c>
      <c r="AC25" s="65">
        <f t="shared" si="8"/>
        <v>2.2360679774997898</v>
      </c>
      <c r="AD25" s="65">
        <f t="shared" si="8"/>
        <v>5.16227766016838</v>
      </c>
      <c r="AE25" s="65">
        <f t="shared" si="8"/>
        <v>6.1231056256176606</v>
      </c>
      <c r="AF25" s="65">
        <f t="shared" si="8"/>
        <v>5.0990195135927845</v>
      </c>
      <c r="AG25" s="65">
        <f t="shared" si="8"/>
        <v>8.0827625302982185</v>
      </c>
      <c r="AH25" s="53"/>
      <c r="AI25" s="2"/>
    </row>
    <row r="26" spans="1:35" ht="9" customHeight="1" x14ac:dyDescent="0.25">
      <c r="A26" s="2"/>
      <c r="B26" s="2"/>
      <c r="C26" s="54">
        <v>23</v>
      </c>
      <c r="D26" s="65">
        <f t="shared" si="6"/>
        <v>23</v>
      </c>
      <c r="E26" s="65">
        <f t="shared" si="6"/>
        <v>22</v>
      </c>
      <c r="F26" s="65">
        <f t="shared" si="6"/>
        <v>21</v>
      </c>
      <c r="G26" s="65">
        <f t="shared" si="6"/>
        <v>20</v>
      </c>
      <c r="H26" s="65">
        <f t="shared" si="6"/>
        <v>19</v>
      </c>
      <c r="I26" s="65">
        <f t="shared" si="6"/>
        <v>18</v>
      </c>
      <c r="J26" s="65">
        <f t="shared" si="6"/>
        <v>17</v>
      </c>
      <c r="K26" s="65">
        <f t="shared" si="6"/>
        <v>16</v>
      </c>
      <c r="L26" s="65">
        <f t="shared" si="6"/>
        <v>15</v>
      </c>
      <c r="M26" s="65">
        <f t="shared" si="6"/>
        <v>14</v>
      </c>
      <c r="N26" s="65">
        <f t="shared" si="7"/>
        <v>13</v>
      </c>
      <c r="O26" s="65">
        <f t="shared" si="7"/>
        <v>12</v>
      </c>
      <c r="P26" s="65">
        <f t="shared" si="7"/>
        <v>11</v>
      </c>
      <c r="Q26" s="65">
        <f t="shared" si="7"/>
        <v>10</v>
      </c>
      <c r="R26" s="65">
        <f t="shared" si="7"/>
        <v>11</v>
      </c>
      <c r="S26" s="65">
        <f t="shared" si="7"/>
        <v>10</v>
      </c>
      <c r="T26" s="65">
        <f t="shared" si="7"/>
        <v>7</v>
      </c>
      <c r="U26" s="65">
        <f t="shared" si="7"/>
        <v>8</v>
      </c>
      <c r="V26" s="65">
        <f t="shared" si="7"/>
        <v>7</v>
      </c>
      <c r="W26" s="65">
        <f t="shared" si="7"/>
        <v>4</v>
      </c>
      <c r="X26" s="65">
        <f t="shared" si="8"/>
        <v>3</v>
      </c>
      <c r="Y26" s="65">
        <f t="shared" si="8"/>
        <v>2</v>
      </c>
      <c r="Z26" s="65">
        <f t="shared" si="8"/>
        <v>1</v>
      </c>
      <c r="AA26" s="65" t="str">
        <f t="shared" si="8"/>
        <v>Ø</v>
      </c>
      <c r="AB26" s="65">
        <f t="shared" si="8"/>
        <v>1</v>
      </c>
      <c r="AC26" s="65">
        <f t="shared" si="8"/>
        <v>2</v>
      </c>
      <c r="AD26" s="65">
        <f t="shared" si="8"/>
        <v>5</v>
      </c>
      <c r="AE26" s="65">
        <f t="shared" si="8"/>
        <v>6</v>
      </c>
      <c r="AF26" s="65">
        <f t="shared" si="8"/>
        <v>5</v>
      </c>
      <c r="AG26" s="65">
        <f t="shared" si="8"/>
        <v>8</v>
      </c>
      <c r="AH26" s="53"/>
      <c r="AI26" s="2"/>
    </row>
    <row r="27" spans="1:35" ht="9" customHeight="1" x14ac:dyDescent="0.25">
      <c r="A27" s="2"/>
      <c r="B27" s="2"/>
      <c r="C27" s="54">
        <v>24</v>
      </c>
      <c r="D27" s="65">
        <f t="shared" si="6"/>
        <v>23.021728866442675</v>
      </c>
      <c r="E27" s="65">
        <f t="shared" si="6"/>
        <v>22.022715545545239</v>
      </c>
      <c r="F27" s="65">
        <f t="shared" si="6"/>
        <v>21.023796041628639</v>
      </c>
      <c r="G27" s="65">
        <f t="shared" si="6"/>
        <v>20.024984394500787</v>
      </c>
      <c r="H27" s="65">
        <f t="shared" si="6"/>
        <v>19.026297590440446</v>
      </c>
      <c r="I27" s="65">
        <f t="shared" si="6"/>
        <v>18.027756377319946</v>
      </c>
      <c r="J27" s="65">
        <f t="shared" si="6"/>
        <v>17.029386365926403</v>
      </c>
      <c r="K27" s="65">
        <f t="shared" si="6"/>
        <v>16.031219541881399</v>
      </c>
      <c r="L27" s="65">
        <f t="shared" si="6"/>
        <v>15.033296378372908</v>
      </c>
      <c r="M27" s="65">
        <f t="shared" si="6"/>
        <v>14.035668847618199</v>
      </c>
      <c r="N27" s="65">
        <f t="shared" si="7"/>
        <v>13.038404810405298</v>
      </c>
      <c r="O27" s="65">
        <f t="shared" si="7"/>
        <v>12.041594578792296</v>
      </c>
      <c r="P27" s="65">
        <f t="shared" si="7"/>
        <v>13.045361017187261</v>
      </c>
      <c r="Q27" s="65">
        <f t="shared" si="7"/>
        <v>12.04987562112089</v>
      </c>
      <c r="R27" s="65">
        <f t="shared" si="7"/>
        <v>11.055385138137417</v>
      </c>
      <c r="S27" s="65">
        <f t="shared" si="7"/>
        <v>10.062257748298549</v>
      </c>
      <c r="T27" s="65">
        <f t="shared" si="7"/>
        <v>7.0710678118654755</v>
      </c>
      <c r="U27" s="65">
        <f t="shared" si="7"/>
        <v>8.0827625302982185</v>
      </c>
      <c r="V27" s="65">
        <f t="shared" si="7"/>
        <v>7.0990195135927845</v>
      </c>
      <c r="W27" s="65">
        <f t="shared" si="7"/>
        <v>6.1231056256176606</v>
      </c>
      <c r="X27" s="65">
        <f t="shared" si="8"/>
        <v>5.16227766016838</v>
      </c>
      <c r="Y27" s="65">
        <f t="shared" si="8"/>
        <v>4.2360679774997898</v>
      </c>
      <c r="Z27" s="65">
        <f t="shared" si="8"/>
        <v>1.4142135623730951</v>
      </c>
      <c r="AA27" s="65">
        <f t="shared" si="8"/>
        <v>3</v>
      </c>
      <c r="AB27" s="65">
        <f t="shared" si="8"/>
        <v>3.4142135623730949</v>
      </c>
      <c r="AC27" s="65">
        <f t="shared" si="8"/>
        <v>2.2360679774997898</v>
      </c>
      <c r="AD27" s="65">
        <f t="shared" si="8"/>
        <v>5.16227766016838</v>
      </c>
      <c r="AE27" s="65">
        <f t="shared" si="8"/>
        <v>6.1231056256176606</v>
      </c>
      <c r="AF27" s="65">
        <f t="shared" si="8"/>
        <v>5.0990195135927845</v>
      </c>
      <c r="AG27" s="65">
        <f t="shared" si="8"/>
        <v>8.0827625302982185</v>
      </c>
      <c r="AH27" s="53"/>
      <c r="AI27" s="2"/>
    </row>
    <row r="28" spans="1:35" ht="9" customHeight="1" x14ac:dyDescent="0.25">
      <c r="A28" s="2"/>
      <c r="B28" s="2"/>
      <c r="C28" s="54">
        <v>25</v>
      </c>
      <c r="D28" s="65">
        <f t="shared" si="6"/>
        <v>23.086792761230392</v>
      </c>
      <c r="E28" s="65">
        <f t="shared" si="6"/>
        <v>22.090722034374522</v>
      </c>
      <c r="F28" s="65">
        <f t="shared" si="6"/>
        <v>21.095023109728988</v>
      </c>
      <c r="G28" s="65">
        <f t="shared" si="6"/>
        <v>20.09975124224178</v>
      </c>
      <c r="H28" s="65">
        <f t="shared" si="6"/>
        <v>19.104973174542799</v>
      </c>
      <c r="I28" s="65">
        <f t="shared" si="6"/>
        <v>18.110770276274835</v>
      </c>
      <c r="J28" s="65">
        <f t="shared" si="6"/>
        <v>17.11724276862369</v>
      </c>
      <c r="K28" s="65">
        <f t="shared" si="6"/>
        <v>16.124515496597098</v>
      </c>
      <c r="L28" s="65">
        <f t="shared" si="6"/>
        <v>15.132745950421556</v>
      </c>
      <c r="M28" s="65">
        <f t="shared" si="6"/>
        <v>14.142135623730951</v>
      </c>
      <c r="N28" s="65">
        <f t="shared" si="7"/>
        <v>13.152946437965905</v>
      </c>
      <c r="O28" s="65">
        <f t="shared" si="7"/>
        <v>12.165525060596439</v>
      </c>
      <c r="P28" s="65">
        <f t="shared" si="7"/>
        <v>13.180339887498949</v>
      </c>
      <c r="Q28" s="65">
        <f t="shared" si="7"/>
        <v>12.198039027185569</v>
      </c>
      <c r="R28" s="65">
        <f t="shared" si="7"/>
        <v>11.219544457292887</v>
      </c>
      <c r="S28" s="65">
        <f t="shared" si="7"/>
        <v>10.246211251235321</v>
      </c>
      <c r="T28" s="65">
        <f t="shared" si="7"/>
        <v>7.2801098892805181</v>
      </c>
      <c r="U28" s="65">
        <f t="shared" si="7"/>
        <v>8.3245553203367599</v>
      </c>
      <c r="V28" s="65">
        <f t="shared" si="7"/>
        <v>7.3851648071345037</v>
      </c>
      <c r="W28" s="65">
        <f t="shared" si="7"/>
        <v>6.4721359549995796</v>
      </c>
      <c r="X28" s="65">
        <f t="shared" si="8"/>
        <v>5.6055512754639896</v>
      </c>
      <c r="Y28" s="65">
        <f t="shared" si="8"/>
        <v>4.8284271247461898</v>
      </c>
      <c r="Z28" s="65">
        <f t="shared" si="8"/>
        <v>2.2360679774997898</v>
      </c>
      <c r="AA28" s="65">
        <f t="shared" si="8"/>
        <v>4</v>
      </c>
      <c r="AB28" s="65">
        <f t="shared" si="8"/>
        <v>4.2360679774997898</v>
      </c>
      <c r="AC28" s="65">
        <f t="shared" si="8"/>
        <v>2.8284271247461903</v>
      </c>
      <c r="AD28" s="65">
        <f t="shared" si="8"/>
        <v>5.6055512754639896</v>
      </c>
      <c r="AE28" s="65">
        <f t="shared" si="8"/>
        <v>6.4721359549995796</v>
      </c>
      <c r="AF28" s="65">
        <f t="shared" si="8"/>
        <v>5.3851648071345037</v>
      </c>
      <c r="AG28" s="65">
        <f t="shared" si="8"/>
        <v>8.3245553203367599</v>
      </c>
      <c r="AH28" s="53"/>
      <c r="AI28" s="2"/>
    </row>
    <row r="29" spans="1:35" ht="9" customHeight="1" x14ac:dyDescent="0.25">
      <c r="A29" s="2"/>
      <c r="B29" s="2"/>
      <c r="C29" s="54">
        <v>26</v>
      </c>
      <c r="D29" s="65">
        <f t="shared" si="6"/>
        <v>23.194827009486403</v>
      </c>
      <c r="E29" s="65">
        <f t="shared" si="6"/>
        <v>22.203603311174518</v>
      </c>
      <c r="F29" s="65">
        <f t="shared" si="6"/>
        <v>21.213203435596427</v>
      </c>
      <c r="G29" s="65">
        <f t="shared" si="6"/>
        <v>20.223748416156685</v>
      </c>
      <c r="H29" s="65">
        <f t="shared" si="6"/>
        <v>19.235384061671343</v>
      </c>
      <c r="I29" s="65">
        <f t="shared" si="6"/>
        <v>18.248287590894659</v>
      </c>
      <c r="J29" s="65">
        <f t="shared" si="6"/>
        <v>17.262676501632068</v>
      </c>
      <c r="K29" s="65">
        <f t="shared" si="6"/>
        <v>16.278820596099706</v>
      </c>
      <c r="L29" s="65">
        <f t="shared" si="6"/>
        <v>15.297058540778355</v>
      </c>
      <c r="M29" s="65">
        <f t="shared" si="6"/>
        <v>14.317821063276353</v>
      </c>
      <c r="N29" s="65">
        <f t="shared" si="7"/>
        <v>13.341664064126334</v>
      </c>
      <c r="O29" s="65">
        <f t="shared" si="7"/>
        <v>12.369316876852981</v>
      </c>
      <c r="P29" s="65">
        <f t="shared" si="7"/>
        <v>11.401754250991379</v>
      </c>
      <c r="Q29" s="65">
        <f t="shared" si="7"/>
        <v>10.440306508910551</v>
      </c>
      <c r="R29" s="65">
        <f t="shared" si="7"/>
        <v>9.4868329805051381</v>
      </c>
      <c r="S29" s="65">
        <f t="shared" si="7"/>
        <v>8.5440037453175304</v>
      </c>
      <c r="T29" s="65">
        <f t="shared" si="7"/>
        <v>7.6157731058639087</v>
      </c>
      <c r="U29" s="65">
        <f t="shared" si="7"/>
        <v>6.7082039324993694</v>
      </c>
      <c r="V29" s="65">
        <f t="shared" si="7"/>
        <v>5.8309518948453007</v>
      </c>
      <c r="W29" s="65">
        <f t="shared" si="7"/>
        <v>5</v>
      </c>
      <c r="X29" s="65">
        <f t="shared" si="8"/>
        <v>6.2426406871192848</v>
      </c>
      <c r="Y29" s="65">
        <f t="shared" si="8"/>
        <v>5.6055512754639896</v>
      </c>
      <c r="Z29" s="65">
        <f t="shared" si="8"/>
        <v>3.1622776601683795</v>
      </c>
      <c r="AA29" s="65">
        <f t="shared" si="8"/>
        <v>3</v>
      </c>
      <c r="AB29" s="65">
        <f t="shared" si="8"/>
        <v>3.1622776601683795</v>
      </c>
      <c r="AC29" s="65">
        <f t="shared" si="8"/>
        <v>3.6055512754639891</v>
      </c>
      <c r="AD29" s="65">
        <f t="shared" si="8"/>
        <v>6.2426406871192848</v>
      </c>
      <c r="AE29" s="65">
        <f t="shared" si="8"/>
        <v>7</v>
      </c>
      <c r="AF29" s="65">
        <f t="shared" si="8"/>
        <v>5.8309518948453007</v>
      </c>
      <c r="AG29" s="65">
        <f t="shared" si="8"/>
        <v>8.7082039324993694</v>
      </c>
      <c r="AH29" s="53"/>
      <c r="AI29" s="2"/>
    </row>
    <row r="30" spans="1:35" ht="9" customHeight="1" x14ac:dyDescent="0.25">
      <c r="A30" s="2"/>
      <c r="B30" s="2"/>
      <c r="C30" s="54">
        <v>27</v>
      </c>
      <c r="D30" s="65">
        <f t="shared" si="6"/>
        <v>23.345235059857504</v>
      </c>
      <c r="E30" s="65">
        <f t="shared" si="6"/>
        <v>22.360679774997898</v>
      </c>
      <c r="F30" s="65">
        <f t="shared" si="6"/>
        <v>21.377558326431949</v>
      </c>
      <c r="G30" s="65">
        <f t="shared" si="6"/>
        <v>20.396078054371138</v>
      </c>
      <c r="H30" s="65">
        <f t="shared" si="6"/>
        <v>19.416487838947599</v>
      </c>
      <c r="I30" s="65">
        <f t="shared" si="6"/>
        <v>18.439088914585774</v>
      </c>
      <c r="J30" s="65">
        <f t="shared" si="6"/>
        <v>17.464249196572979</v>
      </c>
      <c r="K30" s="65">
        <f t="shared" si="6"/>
        <v>16.492422502470642</v>
      </c>
      <c r="L30" s="65">
        <f t="shared" si="6"/>
        <v>15.524174696260024</v>
      </c>
      <c r="M30" s="65">
        <f t="shared" si="6"/>
        <v>14.560219778561036</v>
      </c>
      <c r="N30" s="65">
        <f t="shared" si="7"/>
        <v>13.601470508735444</v>
      </c>
      <c r="O30" s="65">
        <f t="shared" si="7"/>
        <v>12.649110640673518</v>
      </c>
      <c r="P30" s="65">
        <f t="shared" si="7"/>
        <v>13.704699910719626</v>
      </c>
      <c r="Q30" s="65">
        <f t="shared" si="7"/>
        <v>12.770329614269007</v>
      </c>
      <c r="R30" s="65">
        <f t="shared" si="7"/>
        <v>11.848857801796104</v>
      </c>
      <c r="S30" s="65">
        <f t="shared" si="7"/>
        <v>10.944271909999159</v>
      </c>
      <c r="T30" s="65">
        <f t="shared" si="7"/>
        <v>10.062257748298549</v>
      </c>
      <c r="U30" s="65">
        <f t="shared" si="7"/>
        <v>9.2111025509279791</v>
      </c>
      <c r="V30" s="65">
        <f t="shared" si="7"/>
        <v>8.4031242374328485</v>
      </c>
      <c r="W30" s="65">
        <f t="shared" si="7"/>
        <v>5.6568542494923806</v>
      </c>
      <c r="X30" s="65">
        <f t="shared" si="8"/>
        <v>7</v>
      </c>
      <c r="Y30" s="65">
        <f t="shared" si="8"/>
        <v>6.4721359549995796</v>
      </c>
      <c r="Z30" s="65">
        <f t="shared" si="8"/>
        <v>4.1231056256176606</v>
      </c>
      <c r="AA30" s="65">
        <f t="shared" si="8"/>
        <v>6</v>
      </c>
      <c r="AB30" s="65">
        <f t="shared" si="8"/>
        <v>6.1231056256176606</v>
      </c>
      <c r="AC30" s="65">
        <f t="shared" si="8"/>
        <v>4.4721359549995796</v>
      </c>
      <c r="AD30" s="65">
        <f t="shared" si="8"/>
        <v>7</v>
      </c>
      <c r="AE30" s="65">
        <f t="shared" si="8"/>
        <v>7.6568542494923806</v>
      </c>
      <c r="AF30" s="65">
        <f t="shared" si="8"/>
        <v>6.4031242374328485</v>
      </c>
      <c r="AG30" s="65">
        <f t="shared" si="8"/>
        <v>9.2111025509279791</v>
      </c>
      <c r="AH30" s="53"/>
      <c r="AI30" s="2"/>
    </row>
    <row r="31" spans="1:35" ht="9" customHeight="1" x14ac:dyDescent="0.25">
      <c r="A31" s="2"/>
      <c r="B31" s="2"/>
      <c r="C31" s="54">
        <v>28</v>
      </c>
      <c r="D31" s="65">
        <f t="shared" si="6"/>
        <v>23.53720459187964</v>
      </c>
      <c r="E31" s="65">
        <f t="shared" si="6"/>
        <v>22.561028345356956</v>
      </c>
      <c r="F31" s="65">
        <f t="shared" si="6"/>
        <v>21.587033144922902</v>
      </c>
      <c r="G31" s="65">
        <f t="shared" si="6"/>
        <v>20.615528128088304</v>
      </c>
      <c r="H31" s="65">
        <f t="shared" si="6"/>
        <v>19.646882704388499</v>
      </c>
      <c r="I31" s="65">
        <f t="shared" si="6"/>
        <v>18.681541692269406</v>
      </c>
      <c r="J31" s="65">
        <f t="shared" si="6"/>
        <v>17.720045146669349</v>
      </c>
      <c r="K31" s="65">
        <f t="shared" si="6"/>
        <v>16.763054614240211</v>
      </c>
      <c r="L31" s="65">
        <f t="shared" si="6"/>
        <v>15.811388300841896</v>
      </c>
      <c r="M31" s="65">
        <f t="shared" si="6"/>
        <v>14.866068747318506</v>
      </c>
      <c r="N31" s="65">
        <f t="shared" si="7"/>
        <v>13.928388277184119</v>
      </c>
      <c r="O31" s="65">
        <f t="shared" si="7"/>
        <v>13</v>
      </c>
      <c r="P31" s="65">
        <f t="shared" si="7"/>
        <v>12.083045973594572</v>
      </c>
      <c r="Q31" s="65">
        <f t="shared" si="7"/>
        <v>13.180339887498949</v>
      </c>
      <c r="R31" s="65">
        <f t="shared" si="7"/>
        <v>12.295630140987001</v>
      </c>
      <c r="S31" s="65">
        <f t="shared" si="7"/>
        <v>11.433981132056603</v>
      </c>
      <c r="T31" s="65">
        <f t="shared" si="7"/>
        <v>10.602325267042627</v>
      </c>
      <c r="U31" s="65">
        <f t="shared" si="7"/>
        <v>9.810249675906654</v>
      </c>
      <c r="V31" s="65">
        <f t="shared" si="7"/>
        <v>9.0710678118654755</v>
      </c>
      <c r="W31" s="65">
        <f t="shared" si="7"/>
        <v>6.4031242374328485</v>
      </c>
      <c r="X31" s="65">
        <f t="shared" si="8"/>
        <v>7.8309518948453007</v>
      </c>
      <c r="Y31" s="65">
        <f t="shared" si="8"/>
        <v>7.3851648071345037</v>
      </c>
      <c r="Z31" s="65">
        <f t="shared" si="8"/>
        <v>5.0990195135927845</v>
      </c>
      <c r="AA31" s="65">
        <f t="shared" si="8"/>
        <v>7</v>
      </c>
      <c r="AB31" s="65">
        <f t="shared" si="8"/>
        <v>7.0990195135927845</v>
      </c>
      <c r="AC31" s="65">
        <f t="shared" si="8"/>
        <v>5.3851648071345037</v>
      </c>
      <c r="AD31" s="65">
        <f t="shared" si="8"/>
        <v>7.8309518948453007</v>
      </c>
      <c r="AE31" s="65">
        <f t="shared" si="8"/>
        <v>8.4031242374328485</v>
      </c>
      <c r="AF31" s="65">
        <f t="shared" si="8"/>
        <v>7.0710678118654755</v>
      </c>
      <c r="AG31" s="65">
        <f t="shared" si="8"/>
        <v>9.810249675906654</v>
      </c>
      <c r="AH31" s="53"/>
      <c r="AI31" s="2"/>
    </row>
    <row r="32" spans="1:35" ht="9" customHeight="1" x14ac:dyDescent="0.25">
      <c r="A32" s="2"/>
      <c r="B32" s="2"/>
      <c r="C32" s="54">
        <v>29</v>
      </c>
      <c r="D32" s="65">
        <f t="shared" si="6"/>
        <v>23.769728648009426</v>
      </c>
      <c r="E32" s="65">
        <f t="shared" si="6"/>
        <v>22.803508501982758</v>
      </c>
      <c r="F32" s="65">
        <f t="shared" si="6"/>
        <v>21.840329667841555</v>
      </c>
      <c r="G32" s="65">
        <f t="shared" si="6"/>
        <v>20.880613017821101</v>
      </c>
      <c r="H32" s="65">
        <f t="shared" si="6"/>
        <v>19.924858845171276</v>
      </c>
      <c r="I32" s="65">
        <f t="shared" si="6"/>
        <v>18.973665961010276</v>
      </c>
      <c r="J32" s="65">
        <f t="shared" si="6"/>
        <v>18.027756377319946</v>
      </c>
      <c r="K32" s="65">
        <f t="shared" si="6"/>
        <v>17.088007490635061</v>
      </c>
      <c r="L32" s="65">
        <f t="shared" si="6"/>
        <v>16.15549442140351</v>
      </c>
      <c r="M32" s="65">
        <f t="shared" si="6"/>
        <v>15.231546211727817</v>
      </c>
      <c r="N32" s="65">
        <f t="shared" si="7"/>
        <v>14.317821063276353</v>
      </c>
      <c r="O32" s="65">
        <f t="shared" si="7"/>
        <v>13.416407864998739</v>
      </c>
      <c r="P32" s="65">
        <f t="shared" si="7"/>
        <v>12.529964086141668</v>
      </c>
      <c r="Q32" s="65">
        <f t="shared" si="7"/>
        <v>11.661903789690601</v>
      </c>
      <c r="R32" s="65">
        <f t="shared" si="7"/>
        <v>10.816653826391969</v>
      </c>
      <c r="S32" s="65">
        <f t="shared" si="7"/>
        <v>10</v>
      </c>
      <c r="T32" s="65">
        <f t="shared" si="7"/>
        <v>9.2195444572928871</v>
      </c>
      <c r="U32" s="65">
        <f t="shared" si="7"/>
        <v>8.4852813742385695</v>
      </c>
      <c r="V32" s="65">
        <f t="shared" si="7"/>
        <v>7.810249675906654</v>
      </c>
      <c r="W32" s="65">
        <f t="shared" si="7"/>
        <v>7.2111025509279782</v>
      </c>
      <c r="X32" s="65">
        <f t="shared" si="8"/>
        <v>8.7082039324993694</v>
      </c>
      <c r="Y32" s="65">
        <f t="shared" si="8"/>
        <v>8.3245553203367599</v>
      </c>
      <c r="Z32" s="65">
        <f t="shared" si="8"/>
        <v>6.0827625302982193</v>
      </c>
      <c r="AA32" s="65">
        <f t="shared" si="8"/>
        <v>6</v>
      </c>
      <c r="AB32" s="65">
        <f t="shared" si="8"/>
        <v>6.0827625302982193</v>
      </c>
      <c r="AC32" s="65">
        <f t="shared" si="8"/>
        <v>6.324555320336759</v>
      </c>
      <c r="AD32" s="65">
        <f t="shared" si="8"/>
        <v>6.7082039324993694</v>
      </c>
      <c r="AE32" s="65">
        <f t="shared" si="8"/>
        <v>7.2111025509279782</v>
      </c>
      <c r="AF32" s="65">
        <f t="shared" si="8"/>
        <v>7.810249675906654</v>
      </c>
      <c r="AG32" s="65">
        <f t="shared" si="8"/>
        <v>8.4852813742385695</v>
      </c>
      <c r="AH32" s="53"/>
      <c r="AI32" s="2"/>
    </row>
    <row r="33" spans="1:37" ht="9" customHeight="1" x14ac:dyDescent="0.25">
      <c r="A33" s="2"/>
      <c r="B33" s="2"/>
      <c r="C33" s="54">
        <v>30</v>
      </c>
      <c r="D33" s="65">
        <f t="shared" si="6"/>
        <v>24.041630560342615</v>
      </c>
      <c r="E33" s="65">
        <f t="shared" si="6"/>
        <v>23.086792761230392</v>
      </c>
      <c r="F33" s="65">
        <f t="shared" si="6"/>
        <v>22.135943621178654</v>
      </c>
      <c r="G33" s="65">
        <f t="shared" si="6"/>
        <v>21.189620100417091</v>
      </c>
      <c r="H33" s="65">
        <f t="shared" si="6"/>
        <v>20.248456731316587</v>
      </c>
      <c r="I33" s="65">
        <f t="shared" si="6"/>
        <v>19.313207915827967</v>
      </c>
      <c r="J33" s="65">
        <f t="shared" si="6"/>
        <v>18.384776310850235</v>
      </c>
      <c r="K33" s="65">
        <f t="shared" si="6"/>
        <v>17.464249196572979</v>
      </c>
      <c r="L33" s="65">
        <f t="shared" si="6"/>
        <v>16.552945357246848</v>
      </c>
      <c r="M33" s="65">
        <f t="shared" si="6"/>
        <v>15.652475842498529</v>
      </c>
      <c r="N33" s="65">
        <f t="shared" si="7"/>
        <v>14.7648230602334</v>
      </c>
      <c r="O33" s="65">
        <f t="shared" si="7"/>
        <v>13.892443989449804</v>
      </c>
      <c r="P33" s="65">
        <f t="shared" si="7"/>
        <v>13.038404810405298</v>
      </c>
      <c r="Q33" s="65">
        <f t="shared" si="7"/>
        <v>12.206555615733702</v>
      </c>
      <c r="R33" s="65">
        <f t="shared" si="7"/>
        <v>13.401754250991379</v>
      </c>
      <c r="S33" s="65">
        <f t="shared" si="7"/>
        <v>12.63014581273465</v>
      </c>
      <c r="T33" s="65">
        <f t="shared" si="7"/>
        <v>11.899494936611665</v>
      </c>
      <c r="U33" s="65">
        <f t="shared" si="7"/>
        <v>11.219544457292887</v>
      </c>
      <c r="V33" s="65">
        <f t="shared" si="7"/>
        <v>10.602325267042627</v>
      </c>
      <c r="W33" s="65">
        <f t="shared" si="7"/>
        <v>10.062257748298549</v>
      </c>
      <c r="X33" s="65">
        <f t="shared" si="8"/>
        <v>9.6157731058639087</v>
      </c>
      <c r="Y33" s="65">
        <f t="shared" si="8"/>
        <v>9.2801098892805172</v>
      </c>
      <c r="Z33" s="65">
        <f t="shared" si="8"/>
        <v>9.0710678118654755</v>
      </c>
      <c r="AA33" s="65">
        <f t="shared" si="8"/>
        <v>9</v>
      </c>
      <c r="AB33" s="65">
        <f t="shared" si="8"/>
        <v>9.0710678118654755</v>
      </c>
      <c r="AC33" s="65">
        <f t="shared" si="8"/>
        <v>9.2801098892805172</v>
      </c>
      <c r="AD33" s="65">
        <f t="shared" si="8"/>
        <v>9.6157731058639087</v>
      </c>
      <c r="AE33" s="65">
        <f t="shared" si="8"/>
        <v>10.062257748298549</v>
      </c>
      <c r="AF33" s="65">
        <f t="shared" si="8"/>
        <v>10.602325267042627</v>
      </c>
      <c r="AG33" s="65">
        <f t="shared" si="8"/>
        <v>11.219544457292887</v>
      </c>
      <c r="AH33" s="53"/>
      <c r="AI33" s="2"/>
    </row>
    <row r="34" spans="1:37" x14ac:dyDescent="0.25">
      <c r="A34" s="2"/>
      <c r="B34" s="2"/>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2"/>
    </row>
    <row r="37" spans="1:37" x14ac:dyDescent="0.25">
      <c r="AK37" s="61"/>
    </row>
  </sheetData>
  <conditionalFormatting sqref="D4:AG33">
    <cfRule type="colorScale" priority="1">
      <colorScale>
        <cfvo type="min"/>
        <cfvo type="percentile" val="40"/>
        <color theme="0"/>
        <color theme="1"/>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M73"/>
  <sheetViews>
    <sheetView zoomScale="90" zoomScaleNormal="90" workbookViewId="0">
      <selection activeCell="O14" sqref="O14:AR43"/>
    </sheetView>
  </sheetViews>
  <sheetFormatPr defaultColWidth="0" defaultRowHeight="15" x14ac:dyDescent="0.25"/>
  <cols>
    <col min="1" max="1" width="4.7109375" customWidth="1"/>
    <col min="2" max="2" width="3" bestFit="1" customWidth="1"/>
    <col min="3" max="12" width="2.85546875" customWidth="1"/>
    <col min="13" max="13" width="3" customWidth="1"/>
    <col min="14" max="15" width="1.7109375" customWidth="1"/>
    <col min="16" max="16" width="2" customWidth="1"/>
    <col min="17" max="48" width="1.7109375" customWidth="1"/>
    <col min="49" max="64" width="1.7109375" hidden="1" customWidth="1"/>
    <col min="65" max="65" width="0" hidden="1" customWidth="1"/>
    <col min="66" max="16384" width="9.140625" hidden="1"/>
  </cols>
  <sheetData>
    <row r="1" spans="1:65" ht="31.5" customHeight="1" x14ac:dyDescent="0.3">
      <c r="A1" s="59"/>
      <c r="B1" s="2">
        <v>1</v>
      </c>
      <c r="C1" s="2">
        <v>2</v>
      </c>
      <c r="D1" s="2">
        <v>3</v>
      </c>
      <c r="E1" s="2">
        <v>4</v>
      </c>
      <c r="F1" s="2">
        <v>5</v>
      </c>
      <c r="G1" s="2">
        <v>6</v>
      </c>
      <c r="H1" s="2">
        <v>7</v>
      </c>
      <c r="I1" s="2">
        <v>8</v>
      </c>
      <c r="J1" s="2">
        <v>9</v>
      </c>
      <c r="K1" s="2">
        <v>10</v>
      </c>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70"/>
      <c r="AY1" s="70"/>
      <c r="AZ1" s="70"/>
      <c r="BB1" s="70"/>
      <c r="BC1" s="70"/>
      <c r="BD1" s="70"/>
      <c r="BF1" s="70"/>
      <c r="BG1" s="70"/>
      <c r="BH1" s="70"/>
      <c r="BJ1" s="70"/>
      <c r="BK1" s="70"/>
      <c r="BL1" s="70"/>
    </row>
    <row r="2" spans="1:65" x14ac:dyDescent="0.25">
      <c r="A2" s="2">
        <v>1</v>
      </c>
      <c r="B2" s="6">
        <v>9</v>
      </c>
      <c r="C2" s="6">
        <v>5</v>
      </c>
      <c r="D2" s="6">
        <v>5</v>
      </c>
      <c r="E2" s="6">
        <v>11</v>
      </c>
      <c r="F2" s="6">
        <v>5</v>
      </c>
      <c r="G2" s="6">
        <v>5</v>
      </c>
      <c r="H2" s="6">
        <v>6</v>
      </c>
      <c r="I2" s="6">
        <v>7</v>
      </c>
      <c r="J2" s="6">
        <v>11</v>
      </c>
      <c r="K2" s="6">
        <v>6</v>
      </c>
      <c r="L2" s="3"/>
      <c r="M2" s="2"/>
      <c r="N2" s="21"/>
      <c r="O2" s="21"/>
      <c r="P2" s="21"/>
      <c r="Q2" s="21"/>
      <c r="R2" s="21"/>
      <c r="S2" s="21"/>
      <c r="T2" s="21"/>
      <c r="U2" s="21"/>
      <c r="V2" s="21"/>
      <c r="W2" s="21"/>
      <c r="X2" s="21"/>
      <c r="Y2" s="21"/>
      <c r="Z2" s="21"/>
      <c r="AA2" s="21"/>
      <c r="AB2" s="21"/>
      <c r="AC2" s="21"/>
      <c r="AD2" s="21"/>
      <c r="AE2" s="21"/>
      <c r="AF2" s="21"/>
      <c r="AG2" s="2"/>
      <c r="AH2" s="21"/>
      <c r="AI2" s="21"/>
      <c r="AJ2" s="21"/>
      <c r="AK2" s="2"/>
      <c r="AL2" s="21"/>
      <c r="AM2" s="21"/>
      <c r="AN2" s="21"/>
      <c r="AO2" s="2"/>
      <c r="AP2" s="21"/>
      <c r="AQ2" s="21"/>
      <c r="AR2" s="21"/>
      <c r="AS2" s="2"/>
      <c r="AT2" s="21"/>
      <c r="AU2" s="21"/>
      <c r="AV2" s="21"/>
      <c r="AW2" s="2"/>
      <c r="AX2" s="1"/>
      <c r="AY2" s="1"/>
      <c r="AZ2" s="1"/>
      <c r="BB2" s="1"/>
      <c r="BC2" s="1"/>
      <c r="BD2" s="1"/>
      <c r="BF2" s="1"/>
      <c r="BG2" s="1"/>
      <c r="BH2" s="1"/>
      <c r="BJ2" s="1"/>
      <c r="BK2" s="1"/>
      <c r="BL2" s="1"/>
    </row>
    <row r="3" spans="1:65" x14ac:dyDescent="0.25">
      <c r="A3" s="2">
        <v>2</v>
      </c>
      <c r="B3" s="6">
        <v>7</v>
      </c>
      <c r="C3" s="6">
        <v>5</v>
      </c>
      <c r="D3" s="6">
        <v>5</v>
      </c>
      <c r="E3" s="6">
        <v>14</v>
      </c>
      <c r="F3" s="6">
        <v>5</v>
      </c>
      <c r="G3" s="6">
        <v>6</v>
      </c>
      <c r="H3" s="6">
        <v>13</v>
      </c>
      <c r="I3" s="6">
        <v>12</v>
      </c>
      <c r="J3" s="6">
        <v>13</v>
      </c>
      <c r="K3" s="6">
        <v>8</v>
      </c>
      <c r="L3" s="3"/>
      <c r="M3" s="2"/>
      <c r="N3" s="21"/>
      <c r="O3" s="21"/>
      <c r="P3" s="21"/>
      <c r="Q3" s="21"/>
      <c r="R3" s="21"/>
      <c r="S3" s="21"/>
      <c r="T3" s="21"/>
      <c r="U3" s="21"/>
      <c r="V3" s="21"/>
      <c r="W3" s="21"/>
      <c r="X3" s="21"/>
      <c r="Y3" s="21"/>
      <c r="Z3" s="21"/>
      <c r="AA3" s="21"/>
      <c r="AB3" s="21"/>
      <c r="AC3" s="21"/>
      <c r="AD3" s="21"/>
      <c r="AE3" s="21"/>
      <c r="AF3" s="21"/>
      <c r="AG3" s="2"/>
      <c r="AH3" s="21"/>
      <c r="AI3" s="21"/>
      <c r="AJ3" s="21"/>
      <c r="AK3" s="2"/>
      <c r="AL3" s="21"/>
      <c r="AM3" s="21"/>
      <c r="AN3" s="21"/>
      <c r="AO3" s="2"/>
      <c r="AP3" s="21"/>
      <c r="AQ3" s="21"/>
      <c r="AR3" s="21"/>
      <c r="AS3" s="2"/>
      <c r="AT3" s="21"/>
      <c r="AU3" s="21"/>
      <c r="AV3" s="21"/>
      <c r="AW3" s="2"/>
      <c r="AX3" s="1"/>
      <c r="AY3" s="1"/>
      <c r="AZ3" s="1"/>
      <c r="BB3" s="1"/>
      <c r="BC3" s="1"/>
      <c r="BD3" s="1"/>
      <c r="BF3" s="1"/>
      <c r="BG3" s="1"/>
      <c r="BH3" s="1"/>
      <c r="BJ3" s="1"/>
      <c r="BK3" s="1"/>
      <c r="BL3" s="1"/>
      <c r="BM3" s="21"/>
    </row>
    <row r="4" spans="1:65" x14ac:dyDescent="0.25">
      <c r="A4" s="2">
        <v>3</v>
      </c>
      <c r="B4" s="6">
        <v>9</v>
      </c>
      <c r="C4" s="6">
        <v>5</v>
      </c>
      <c r="D4" s="6">
        <v>11</v>
      </c>
      <c r="E4" s="6">
        <v>14</v>
      </c>
      <c r="F4" s="6">
        <v>6</v>
      </c>
      <c r="G4" s="6">
        <v>9</v>
      </c>
      <c r="H4" s="6">
        <v>8</v>
      </c>
      <c r="I4" s="6">
        <v>13</v>
      </c>
      <c r="J4" s="6">
        <v>14</v>
      </c>
      <c r="K4" s="6">
        <v>6</v>
      </c>
      <c r="L4" s="3"/>
      <c r="M4" s="2"/>
      <c r="N4" s="21"/>
      <c r="O4" s="21"/>
      <c r="P4" s="21"/>
      <c r="Q4" s="21"/>
      <c r="S4" s="21"/>
      <c r="T4" s="21"/>
      <c r="U4" s="21"/>
      <c r="V4" s="21"/>
      <c r="W4" s="21"/>
      <c r="X4" s="21"/>
      <c r="Y4" s="21"/>
      <c r="Z4" s="21"/>
      <c r="AA4" s="21"/>
      <c r="AB4" s="21"/>
      <c r="AC4" s="21"/>
      <c r="AD4" s="21"/>
      <c r="AE4" s="21"/>
      <c r="AF4" s="21"/>
      <c r="AG4" s="2"/>
      <c r="AH4" s="21"/>
      <c r="AI4" s="21"/>
      <c r="AJ4" s="21"/>
      <c r="AK4" s="2"/>
      <c r="AL4" s="21"/>
      <c r="AM4" s="21"/>
      <c r="AN4" s="21"/>
      <c r="AO4" s="2"/>
      <c r="AP4" s="21"/>
      <c r="AQ4" s="21"/>
      <c r="AR4" s="21"/>
      <c r="AS4" s="2"/>
      <c r="AT4" s="21"/>
      <c r="AU4" s="21"/>
      <c r="AV4" s="21"/>
      <c r="AW4" s="2"/>
      <c r="AX4" s="1"/>
      <c r="AY4" s="1"/>
      <c r="AZ4" s="1"/>
      <c r="BB4" s="1"/>
      <c r="BC4" s="1"/>
      <c r="BD4" s="1"/>
      <c r="BF4" s="1"/>
      <c r="BG4" s="1"/>
      <c r="BH4" s="1"/>
      <c r="BJ4" s="1"/>
      <c r="BK4" s="1"/>
      <c r="BL4" s="1"/>
    </row>
    <row r="5" spans="1:65" x14ac:dyDescent="0.25">
      <c r="A5" s="2">
        <v>4</v>
      </c>
      <c r="B5" s="6">
        <v>7</v>
      </c>
      <c r="C5" s="6">
        <v>6</v>
      </c>
      <c r="D5" s="6">
        <v>15</v>
      </c>
      <c r="E5" s="6">
        <v>15</v>
      </c>
      <c r="F5" s="6">
        <v>13</v>
      </c>
      <c r="G5" s="6">
        <v>5</v>
      </c>
      <c r="H5" s="6">
        <v>5</v>
      </c>
      <c r="I5" s="6">
        <v>8</v>
      </c>
      <c r="J5" s="6">
        <v>15</v>
      </c>
      <c r="K5" s="6">
        <v>15</v>
      </c>
      <c r="L5" s="3"/>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65" x14ac:dyDescent="0.25">
      <c r="A6" s="2">
        <v>5</v>
      </c>
      <c r="B6" s="6">
        <v>9</v>
      </c>
      <c r="C6" s="6">
        <v>10</v>
      </c>
      <c r="D6" s="6">
        <v>10</v>
      </c>
      <c r="E6" s="6">
        <v>14</v>
      </c>
      <c r="F6" s="6">
        <v>14</v>
      </c>
      <c r="G6" s="6">
        <v>5</v>
      </c>
      <c r="H6" s="6">
        <v>5</v>
      </c>
      <c r="I6" s="6">
        <v>6</v>
      </c>
      <c r="J6" s="6">
        <v>15</v>
      </c>
      <c r="K6" s="6">
        <v>15</v>
      </c>
      <c r="L6" s="3"/>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65" x14ac:dyDescent="0.25">
      <c r="A7" s="2">
        <v>6</v>
      </c>
      <c r="B7" s="6">
        <v>7</v>
      </c>
      <c r="C7" s="6">
        <v>5</v>
      </c>
      <c r="D7" s="6">
        <v>5</v>
      </c>
      <c r="E7" s="6">
        <v>14</v>
      </c>
      <c r="F7" s="6">
        <v>14</v>
      </c>
      <c r="G7" s="6">
        <v>5</v>
      </c>
      <c r="H7" s="6">
        <v>5</v>
      </c>
      <c r="I7" s="6">
        <v>14</v>
      </c>
      <c r="J7" s="6">
        <v>10</v>
      </c>
      <c r="K7" s="6">
        <v>8</v>
      </c>
      <c r="L7" s="3"/>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65" x14ac:dyDescent="0.25">
      <c r="A8" s="2">
        <v>7</v>
      </c>
      <c r="B8" s="6">
        <v>15</v>
      </c>
      <c r="C8" s="6">
        <v>7</v>
      </c>
      <c r="D8" s="6">
        <v>6</v>
      </c>
      <c r="E8" s="6">
        <v>15</v>
      </c>
      <c r="F8" s="6">
        <v>13</v>
      </c>
      <c r="G8" s="6">
        <v>11</v>
      </c>
      <c r="H8" s="6">
        <v>6</v>
      </c>
      <c r="I8" s="6">
        <v>15</v>
      </c>
      <c r="J8" s="6">
        <v>7</v>
      </c>
      <c r="K8" s="6">
        <v>6</v>
      </c>
      <c r="L8" s="3"/>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65" x14ac:dyDescent="0.25">
      <c r="A9" s="2">
        <v>8</v>
      </c>
      <c r="B9" s="6">
        <v>15</v>
      </c>
      <c r="C9" s="6">
        <v>15</v>
      </c>
      <c r="D9" s="6">
        <v>15</v>
      </c>
      <c r="E9" s="6">
        <v>13</v>
      </c>
      <c r="F9" s="6">
        <v>8</v>
      </c>
      <c r="G9" s="6">
        <v>15</v>
      </c>
      <c r="H9" s="6">
        <v>9</v>
      </c>
      <c r="I9" s="6">
        <v>14</v>
      </c>
      <c r="J9" s="6">
        <v>12</v>
      </c>
      <c r="K9" s="6">
        <v>15</v>
      </c>
      <c r="L9" s="3"/>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65" ht="18.75" x14ac:dyDescent="0.3">
      <c r="A10" s="2">
        <v>9</v>
      </c>
      <c r="B10" s="6">
        <v>15</v>
      </c>
      <c r="C10" s="6">
        <v>9</v>
      </c>
      <c r="D10" s="6">
        <v>12</v>
      </c>
      <c r="E10" s="6">
        <v>13</v>
      </c>
      <c r="F10" s="6">
        <v>5</v>
      </c>
      <c r="G10" s="6">
        <v>10</v>
      </c>
      <c r="H10" s="6">
        <v>6</v>
      </c>
      <c r="I10" s="6">
        <v>13</v>
      </c>
      <c r="J10" s="6">
        <v>12</v>
      </c>
      <c r="K10" s="6">
        <v>15</v>
      </c>
      <c r="L10" s="3"/>
      <c r="M10" s="2"/>
      <c r="N10" s="2"/>
      <c r="O10" s="50">
        <v>1</v>
      </c>
      <c r="P10" s="50">
        <v>2</v>
      </c>
      <c r="Q10" s="50">
        <v>3</v>
      </c>
      <c r="R10" s="50">
        <v>4</v>
      </c>
      <c r="S10" s="50">
        <v>5</v>
      </c>
      <c r="T10" s="50">
        <v>6</v>
      </c>
      <c r="U10" s="50">
        <v>7</v>
      </c>
      <c r="V10" s="50">
        <v>8</v>
      </c>
      <c r="W10" s="50">
        <v>9</v>
      </c>
      <c r="X10" s="50">
        <v>10</v>
      </c>
      <c r="Y10" s="50">
        <v>11</v>
      </c>
      <c r="Z10" s="50">
        <v>12</v>
      </c>
      <c r="AA10" s="50">
        <v>13</v>
      </c>
      <c r="AB10" s="50">
        <v>14</v>
      </c>
      <c r="AC10" s="50">
        <v>15</v>
      </c>
      <c r="AD10" s="50">
        <v>16</v>
      </c>
      <c r="AE10" s="50">
        <v>17</v>
      </c>
      <c r="AF10" s="50">
        <v>18</v>
      </c>
      <c r="AG10" s="50">
        <v>19</v>
      </c>
      <c r="AH10" s="50">
        <v>20</v>
      </c>
      <c r="AI10" s="50">
        <v>21</v>
      </c>
      <c r="AJ10" s="50">
        <v>22</v>
      </c>
      <c r="AK10" s="50">
        <v>23</v>
      </c>
      <c r="AL10" s="50">
        <v>24</v>
      </c>
      <c r="AM10" s="50">
        <v>25</v>
      </c>
      <c r="AN10" s="50">
        <v>26</v>
      </c>
      <c r="AO10" s="50">
        <v>27</v>
      </c>
      <c r="AP10" s="50">
        <v>28</v>
      </c>
      <c r="AQ10" s="50">
        <v>29</v>
      </c>
      <c r="AR10" s="50">
        <v>30</v>
      </c>
      <c r="AS10" s="2"/>
      <c r="AT10" s="2"/>
      <c r="AU10" s="2"/>
      <c r="AV10" s="2"/>
    </row>
    <row r="11" spans="1:65" x14ac:dyDescent="0.25">
      <c r="A11" s="2">
        <v>10</v>
      </c>
      <c r="B11" s="6">
        <v>9</v>
      </c>
      <c r="C11" s="6">
        <v>5</v>
      </c>
      <c r="D11" s="6">
        <v>8</v>
      </c>
      <c r="E11" s="6">
        <v>9</v>
      </c>
      <c r="F11" s="6">
        <v>5</v>
      </c>
      <c r="G11" s="6">
        <v>5</v>
      </c>
      <c r="H11" s="6">
        <v>8</v>
      </c>
      <c r="I11" s="6">
        <v>9</v>
      </c>
      <c r="J11" s="6">
        <v>10</v>
      </c>
      <c r="K11" s="6">
        <v>10</v>
      </c>
      <c r="L11" s="3"/>
      <c r="M11" s="2"/>
      <c r="N11" s="2"/>
      <c r="O11" s="2">
        <v>1</v>
      </c>
      <c r="P11" s="2">
        <v>1</v>
      </c>
      <c r="Q11" s="2">
        <v>1</v>
      </c>
      <c r="R11" s="2">
        <v>2</v>
      </c>
      <c r="S11" s="2">
        <v>2</v>
      </c>
      <c r="T11" s="2">
        <v>2</v>
      </c>
      <c r="U11" s="2">
        <v>3</v>
      </c>
      <c r="V11" s="2">
        <v>3</v>
      </c>
      <c r="W11" s="2">
        <v>3</v>
      </c>
      <c r="X11" s="2">
        <v>4</v>
      </c>
      <c r="Y11" s="2">
        <v>4</v>
      </c>
      <c r="Z11" s="2">
        <v>4</v>
      </c>
      <c r="AA11" s="2">
        <v>5</v>
      </c>
      <c r="AB11" s="2">
        <v>5</v>
      </c>
      <c r="AC11" s="2">
        <v>5</v>
      </c>
      <c r="AD11" s="2">
        <v>6</v>
      </c>
      <c r="AE11" s="2">
        <v>6</v>
      </c>
      <c r="AF11" s="2">
        <v>6</v>
      </c>
      <c r="AG11" s="2">
        <v>7</v>
      </c>
      <c r="AH11" s="2">
        <v>7</v>
      </c>
      <c r="AI11" s="2">
        <v>7</v>
      </c>
      <c r="AJ11" s="2">
        <v>8</v>
      </c>
      <c r="AK11" s="2">
        <v>8</v>
      </c>
      <c r="AL11" s="2">
        <v>8</v>
      </c>
      <c r="AM11" s="2">
        <v>9</v>
      </c>
      <c r="AN11" s="2">
        <v>9</v>
      </c>
      <c r="AO11" s="2">
        <v>9</v>
      </c>
      <c r="AP11" s="2">
        <v>10</v>
      </c>
      <c r="AQ11" s="2">
        <v>10</v>
      </c>
      <c r="AR11" s="2">
        <v>10</v>
      </c>
      <c r="AS11" s="2"/>
      <c r="AT11" s="2"/>
      <c r="AU11" s="2"/>
      <c r="AV11" s="2"/>
    </row>
    <row r="12" spans="1:65" x14ac:dyDescent="0.25">
      <c r="A12" s="2"/>
      <c r="B12" s="2"/>
      <c r="C12" s="2"/>
      <c r="D12" s="2"/>
      <c r="E12" s="2"/>
      <c r="F12" s="2"/>
      <c r="G12" s="2"/>
      <c r="H12" s="2"/>
      <c r="I12" s="2"/>
      <c r="J12" s="2"/>
      <c r="K12" s="2"/>
      <c r="L12" s="2"/>
      <c r="M12" s="2"/>
      <c r="N12" s="2"/>
      <c r="O12" s="71">
        <v>1</v>
      </c>
      <c r="P12" s="72"/>
      <c r="Q12" s="73"/>
      <c r="R12" s="71">
        <v>2</v>
      </c>
      <c r="S12" s="72"/>
      <c r="T12" s="73"/>
      <c r="U12" s="71">
        <v>3</v>
      </c>
      <c r="V12" s="72"/>
      <c r="W12" s="73"/>
      <c r="X12" s="71">
        <v>4</v>
      </c>
      <c r="Y12" s="72"/>
      <c r="Z12" s="73"/>
      <c r="AA12" s="71">
        <v>5</v>
      </c>
      <c r="AB12" s="72"/>
      <c r="AC12" s="73"/>
      <c r="AD12" s="71">
        <v>6</v>
      </c>
      <c r="AE12" s="72"/>
      <c r="AF12" s="73"/>
      <c r="AG12" s="71">
        <v>7</v>
      </c>
      <c r="AH12" s="72"/>
      <c r="AI12" s="73"/>
      <c r="AJ12" s="71">
        <v>8</v>
      </c>
      <c r="AK12" s="72"/>
      <c r="AL12" s="73"/>
      <c r="AM12" s="71">
        <v>9</v>
      </c>
      <c r="AN12" s="72"/>
      <c r="AO12" s="73"/>
      <c r="AP12" s="71">
        <v>10</v>
      </c>
      <c r="AQ12" s="72"/>
      <c r="AR12" s="73"/>
      <c r="AS12" s="2"/>
      <c r="AT12" s="2"/>
      <c r="AU12" s="2"/>
      <c r="AV12" s="2"/>
    </row>
    <row r="13" spans="1:65" ht="16.5" x14ac:dyDescent="0.35">
      <c r="A13" s="55" t="s">
        <v>29</v>
      </c>
      <c r="B13" s="2"/>
      <c r="C13" s="2"/>
      <c r="D13" s="2"/>
      <c r="E13" s="2"/>
      <c r="F13" s="2"/>
      <c r="G13" s="2"/>
      <c r="H13" s="2"/>
      <c r="I13" s="2"/>
      <c r="J13" s="2"/>
      <c r="K13" s="2"/>
      <c r="L13" s="2"/>
      <c r="M13" s="2"/>
      <c r="N13" s="60"/>
      <c r="O13" s="10">
        <v>1</v>
      </c>
      <c r="P13" s="11">
        <v>2</v>
      </c>
      <c r="Q13" s="12">
        <v>3</v>
      </c>
      <c r="R13" s="10">
        <v>1</v>
      </c>
      <c r="S13" s="11">
        <v>2</v>
      </c>
      <c r="T13" s="12">
        <v>3</v>
      </c>
      <c r="U13" s="10">
        <v>1</v>
      </c>
      <c r="V13" s="11">
        <v>2</v>
      </c>
      <c r="W13" s="12">
        <v>3</v>
      </c>
      <c r="X13" s="10">
        <v>1</v>
      </c>
      <c r="Y13" s="11">
        <v>2</v>
      </c>
      <c r="Z13" s="12">
        <v>3</v>
      </c>
      <c r="AA13" s="10">
        <v>1</v>
      </c>
      <c r="AB13" s="11">
        <v>2</v>
      </c>
      <c r="AC13" s="12">
        <v>3</v>
      </c>
      <c r="AD13" s="10">
        <v>1</v>
      </c>
      <c r="AE13" s="11">
        <v>2</v>
      </c>
      <c r="AF13" s="12">
        <v>3</v>
      </c>
      <c r="AG13" s="10">
        <v>1</v>
      </c>
      <c r="AH13" s="11">
        <v>2</v>
      </c>
      <c r="AI13" s="12">
        <v>3</v>
      </c>
      <c r="AJ13" s="10">
        <v>1</v>
      </c>
      <c r="AK13" s="11">
        <v>2</v>
      </c>
      <c r="AL13" s="12">
        <v>3</v>
      </c>
      <c r="AM13" s="10">
        <v>1</v>
      </c>
      <c r="AN13" s="11">
        <v>2</v>
      </c>
      <c r="AO13" s="12">
        <v>3</v>
      </c>
      <c r="AP13" s="10">
        <v>1</v>
      </c>
      <c r="AQ13" s="11">
        <v>2</v>
      </c>
      <c r="AR13" s="12">
        <v>3</v>
      </c>
      <c r="AS13" s="2"/>
      <c r="AT13" s="2"/>
      <c r="AU13" s="2"/>
      <c r="AV13" s="2"/>
    </row>
    <row r="14" spans="1:65" ht="9" customHeight="1" x14ac:dyDescent="0.25">
      <c r="A14" s="5"/>
      <c r="B14" s="21">
        <v>1</v>
      </c>
      <c r="C14" s="21">
        <v>1</v>
      </c>
      <c r="D14" s="21">
        <v>1</v>
      </c>
      <c r="E14" s="2"/>
      <c r="F14" s="2"/>
      <c r="G14" s="2"/>
      <c r="H14" s="2"/>
      <c r="I14" s="2"/>
      <c r="J14" s="2"/>
      <c r="K14" s="2">
        <v>1</v>
      </c>
      <c r="L14" s="2">
        <v>1</v>
      </c>
      <c r="M14" s="74">
        <v>1</v>
      </c>
      <c r="N14" s="7">
        <v>1</v>
      </c>
      <c r="O14" s="64">
        <f>IF(AND($K14=Calc.Top, O$10=Calc.Left),Player.Direction,INDEX(CHOOSE(INDEX(MazeDef,$L14,O$11),Primitives!$C$2:$E$4,Primitives!$C$6:$E$8,Primitives!$C$10:$E$12,Primitives!$C$14:$E$16,Primitives!$C$18:$E$20,Primitives!$C$22:$E$24,Primitives!$C$26:$E$28,Primitives!$C$30:$E$32,Primitives!$C$34:$E$36,Primitives!$C$38:$E$40,Primitives!$C$42:$E$44,Primitives!$C$46:$E$48,Primitives!$C$50:$E$52,Primitives!$C$54:$E$56,Primitives!$C$58:$E$60),$N14,O$13))</f>
        <v>1</v>
      </c>
      <c r="P14" s="64">
        <f>IF(AND($K14=Calc.Top, P$10=Calc.Left),Player.Direction,INDEX(CHOOSE(INDEX(MazeDef,$L14,P$11),Primitives!$C$2:$E$4,Primitives!$C$6:$E$8,Primitives!$C$10:$E$12,Primitives!$C$14:$E$16,Primitives!$C$18:$E$20,Primitives!$C$22:$E$24,Primitives!$C$26:$E$28,Primitives!$C$30:$E$32,Primitives!$C$34:$E$36,Primitives!$C$38:$E$40,Primitives!$C$42:$E$44,Primitives!$C$46:$E$48,Primitives!$C$50:$E$52,Primitives!$C$54:$E$56,Primitives!$C$58:$E$60),$N14,P$13))</f>
        <v>0</v>
      </c>
      <c r="Q14" s="64">
        <f>IF(AND($K14=Calc.Top, Q$10=Calc.Left),Player.Direction,INDEX(CHOOSE(INDEX(MazeDef,$L14,Q$11),Primitives!$C$2:$E$4,Primitives!$C$6:$E$8,Primitives!$C$10:$E$12,Primitives!$C$14:$E$16,Primitives!$C$18:$E$20,Primitives!$C$22:$E$24,Primitives!$C$26:$E$28,Primitives!$C$30:$E$32,Primitives!$C$34:$E$36,Primitives!$C$38:$E$40,Primitives!$C$42:$E$44,Primitives!$C$46:$E$48,Primitives!$C$50:$E$52,Primitives!$C$54:$E$56,Primitives!$C$58:$E$60),$N14,Q$13))</f>
        <v>1</v>
      </c>
      <c r="R14" s="64">
        <f>IF(AND($K14=Calc.Top, R$10=Calc.Left),Player.Direction,INDEX(CHOOSE(INDEX(MazeDef,$L14,R$11),Primitives!$C$2:$E$4,Primitives!$C$6:$E$8,Primitives!$C$10:$E$12,Primitives!$C$14:$E$16,Primitives!$C$18:$E$20,Primitives!$C$22:$E$24,Primitives!$C$26:$E$28,Primitives!$C$30:$E$32,Primitives!$C$34:$E$36,Primitives!$C$38:$E$40,Primitives!$C$42:$E$44,Primitives!$C$46:$E$48,Primitives!$C$50:$E$52,Primitives!$C$54:$E$56,Primitives!$C$58:$E$60),$N14,R$13))</f>
        <v>1</v>
      </c>
      <c r="S14" s="64">
        <f>IF(AND($K14=Calc.Top, S$10=Calc.Left),Player.Direction,INDEX(CHOOSE(INDEX(MazeDef,$L14,S$11),Primitives!$C$2:$E$4,Primitives!$C$6:$E$8,Primitives!$C$10:$E$12,Primitives!$C$14:$E$16,Primitives!$C$18:$E$20,Primitives!$C$22:$E$24,Primitives!$C$26:$E$28,Primitives!$C$30:$E$32,Primitives!$C$34:$E$36,Primitives!$C$38:$E$40,Primitives!$C$42:$E$44,Primitives!$C$46:$E$48,Primitives!$C$50:$E$52,Primitives!$C$54:$E$56,Primitives!$C$58:$E$60),$N14,S$13))</f>
        <v>1</v>
      </c>
      <c r="T14" s="64">
        <f>IF(AND($K14=Calc.Top, T$10=Calc.Left),Player.Direction,INDEX(CHOOSE(INDEX(MazeDef,$L14,T$11),Primitives!$C$2:$E$4,Primitives!$C$6:$E$8,Primitives!$C$10:$E$12,Primitives!$C$14:$E$16,Primitives!$C$18:$E$20,Primitives!$C$22:$E$24,Primitives!$C$26:$E$28,Primitives!$C$30:$E$32,Primitives!$C$34:$E$36,Primitives!$C$38:$E$40,Primitives!$C$42:$E$44,Primitives!$C$46:$E$48,Primitives!$C$50:$E$52,Primitives!$C$54:$E$56,Primitives!$C$58:$E$60),$N14,T$13))</f>
        <v>1</v>
      </c>
      <c r="U14" s="64">
        <f>IF(AND($K14=Calc.Top, U$10=Calc.Left),Player.Direction,INDEX(CHOOSE(INDEX(MazeDef,$L14,U$11),Primitives!$C$2:$E$4,Primitives!$C$6:$E$8,Primitives!$C$10:$E$12,Primitives!$C$14:$E$16,Primitives!$C$18:$E$20,Primitives!$C$22:$E$24,Primitives!$C$26:$E$28,Primitives!$C$30:$E$32,Primitives!$C$34:$E$36,Primitives!$C$38:$E$40,Primitives!$C$42:$E$44,Primitives!$C$46:$E$48,Primitives!$C$50:$E$52,Primitives!$C$54:$E$56,Primitives!$C$58:$E$60),$N14,U$13))</f>
        <v>1</v>
      </c>
      <c r="V14" s="64">
        <f>IF(AND($K14=Calc.Top, V$10=Calc.Left),Player.Direction,INDEX(CHOOSE(INDEX(MazeDef,$L14,V$11),Primitives!$C$2:$E$4,Primitives!$C$6:$E$8,Primitives!$C$10:$E$12,Primitives!$C$14:$E$16,Primitives!$C$18:$E$20,Primitives!$C$22:$E$24,Primitives!$C$26:$E$28,Primitives!$C$30:$E$32,Primitives!$C$34:$E$36,Primitives!$C$38:$E$40,Primitives!$C$42:$E$44,Primitives!$C$46:$E$48,Primitives!$C$50:$E$52,Primitives!$C$54:$E$56,Primitives!$C$58:$E$60),$N14,V$13))</f>
        <v>1</v>
      </c>
      <c r="W14" s="64">
        <f>IF(AND($K14=Calc.Top, W$10=Calc.Left),Player.Direction,INDEX(CHOOSE(INDEX(MazeDef,$L14,W$11),Primitives!$C$2:$E$4,Primitives!$C$6:$E$8,Primitives!$C$10:$E$12,Primitives!$C$14:$E$16,Primitives!$C$18:$E$20,Primitives!$C$22:$E$24,Primitives!$C$26:$E$28,Primitives!$C$30:$E$32,Primitives!$C$34:$E$36,Primitives!$C$38:$E$40,Primitives!$C$42:$E$44,Primitives!$C$46:$E$48,Primitives!$C$50:$E$52,Primitives!$C$54:$E$56,Primitives!$C$58:$E$60),$N14,W$13))</f>
        <v>1</v>
      </c>
      <c r="X14" s="64">
        <f>IF(AND($K14=Calc.Top, X$10=Calc.Left),Player.Direction,INDEX(CHOOSE(INDEX(MazeDef,$L14,X$11),Primitives!$C$2:$E$4,Primitives!$C$6:$E$8,Primitives!$C$10:$E$12,Primitives!$C$14:$E$16,Primitives!$C$18:$E$20,Primitives!$C$22:$E$24,Primitives!$C$26:$E$28,Primitives!$C$30:$E$32,Primitives!$C$34:$E$36,Primitives!$C$38:$E$40,Primitives!$C$42:$E$44,Primitives!$C$46:$E$48,Primitives!$C$50:$E$52,Primitives!$C$54:$E$56,Primitives!$C$58:$E$60),$N14,X$13))</f>
        <v>1</v>
      </c>
      <c r="Y14" s="64">
        <f>IF(AND($K14=Calc.Top, Y$10=Calc.Left),Player.Direction,INDEX(CHOOSE(INDEX(MazeDef,$L14,Y$11),Primitives!$C$2:$E$4,Primitives!$C$6:$E$8,Primitives!$C$10:$E$12,Primitives!$C$14:$E$16,Primitives!$C$18:$E$20,Primitives!$C$22:$E$24,Primitives!$C$26:$E$28,Primitives!$C$30:$E$32,Primitives!$C$34:$E$36,Primitives!$C$38:$E$40,Primitives!$C$42:$E$44,Primitives!$C$46:$E$48,Primitives!$C$50:$E$52,Primitives!$C$54:$E$56,Primitives!$C$58:$E$60),$N14,Y$13))</f>
        <v>1</v>
      </c>
      <c r="Z14" s="64">
        <f>IF(AND($K14=Calc.Top, Z$10=Calc.Left),Player.Direction,INDEX(CHOOSE(INDEX(MazeDef,$L14,Z$11),Primitives!$C$2:$E$4,Primitives!$C$6:$E$8,Primitives!$C$10:$E$12,Primitives!$C$14:$E$16,Primitives!$C$18:$E$20,Primitives!$C$22:$E$24,Primitives!$C$26:$E$28,Primitives!$C$30:$E$32,Primitives!$C$34:$E$36,Primitives!$C$38:$E$40,Primitives!$C$42:$E$44,Primitives!$C$46:$E$48,Primitives!$C$50:$E$52,Primitives!$C$54:$E$56,Primitives!$C$58:$E$60),$N14,Z$13))</f>
        <v>1</v>
      </c>
      <c r="AA14" s="64">
        <f>IF(AND($K14=Calc.Top, AA$10=Calc.Left),Player.Direction,INDEX(CHOOSE(INDEX(MazeDef,$L14,AA$11),Primitives!$C$2:$E$4,Primitives!$C$6:$E$8,Primitives!$C$10:$E$12,Primitives!$C$14:$E$16,Primitives!$C$18:$E$20,Primitives!$C$22:$E$24,Primitives!$C$26:$E$28,Primitives!$C$30:$E$32,Primitives!$C$34:$E$36,Primitives!$C$38:$E$40,Primitives!$C$42:$E$44,Primitives!$C$46:$E$48,Primitives!$C$50:$E$52,Primitives!$C$54:$E$56,Primitives!$C$58:$E$60),$N14,AA$13))</f>
        <v>1</v>
      </c>
      <c r="AB14" s="64">
        <f>IF(AND($K14=Calc.Top, AB$10=Calc.Left),Player.Direction,INDEX(CHOOSE(INDEX(MazeDef,$L14,AB$11),Primitives!$C$2:$E$4,Primitives!$C$6:$E$8,Primitives!$C$10:$E$12,Primitives!$C$14:$E$16,Primitives!$C$18:$E$20,Primitives!$C$22:$E$24,Primitives!$C$26:$E$28,Primitives!$C$30:$E$32,Primitives!$C$34:$E$36,Primitives!$C$38:$E$40,Primitives!$C$42:$E$44,Primitives!$C$46:$E$48,Primitives!$C$50:$E$52,Primitives!$C$54:$E$56,Primitives!$C$58:$E$60),$N14,AB$13))</f>
        <v>1</v>
      </c>
      <c r="AC14" s="64">
        <f>IF(AND($K14=Calc.Top, AC$10=Calc.Left),Player.Direction,INDEX(CHOOSE(INDEX(MazeDef,$L14,AC$11),Primitives!$C$2:$E$4,Primitives!$C$6:$E$8,Primitives!$C$10:$E$12,Primitives!$C$14:$E$16,Primitives!$C$18:$E$20,Primitives!$C$22:$E$24,Primitives!$C$26:$E$28,Primitives!$C$30:$E$32,Primitives!$C$34:$E$36,Primitives!$C$38:$E$40,Primitives!$C$42:$E$44,Primitives!$C$46:$E$48,Primitives!$C$50:$E$52,Primitives!$C$54:$E$56,Primitives!$C$58:$E$60),$N14,AC$13))</f>
        <v>1</v>
      </c>
      <c r="AD14" s="64">
        <f>IF(AND($K14=Calc.Top, AD$10=Calc.Left),Player.Direction,INDEX(CHOOSE(INDEX(MazeDef,$L14,AD$11),Primitives!$C$2:$E$4,Primitives!$C$6:$E$8,Primitives!$C$10:$E$12,Primitives!$C$14:$E$16,Primitives!$C$18:$E$20,Primitives!$C$22:$E$24,Primitives!$C$26:$E$28,Primitives!$C$30:$E$32,Primitives!$C$34:$E$36,Primitives!$C$38:$E$40,Primitives!$C$42:$E$44,Primitives!$C$46:$E$48,Primitives!$C$50:$E$52,Primitives!$C$54:$E$56,Primitives!$C$58:$E$60),$N14,AD$13))</f>
        <v>1</v>
      </c>
      <c r="AE14" s="64">
        <f>IF(AND($K14=Calc.Top, AE$10=Calc.Left),Player.Direction,INDEX(CHOOSE(INDEX(MazeDef,$L14,AE$11),Primitives!$C$2:$E$4,Primitives!$C$6:$E$8,Primitives!$C$10:$E$12,Primitives!$C$14:$E$16,Primitives!$C$18:$E$20,Primitives!$C$22:$E$24,Primitives!$C$26:$E$28,Primitives!$C$30:$E$32,Primitives!$C$34:$E$36,Primitives!$C$38:$E$40,Primitives!$C$42:$E$44,Primitives!$C$46:$E$48,Primitives!$C$50:$E$52,Primitives!$C$54:$E$56,Primitives!$C$58:$E$60),$N14,AE$13))</f>
        <v>1</v>
      </c>
      <c r="AF14" s="64">
        <f>IF(AND($K14=Calc.Top, AF$10=Calc.Left),Player.Direction,INDEX(CHOOSE(INDEX(MazeDef,$L14,AF$11),Primitives!$C$2:$E$4,Primitives!$C$6:$E$8,Primitives!$C$10:$E$12,Primitives!$C$14:$E$16,Primitives!$C$18:$E$20,Primitives!$C$22:$E$24,Primitives!$C$26:$E$28,Primitives!$C$30:$E$32,Primitives!$C$34:$E$36,Primitives!$C$38:$E$40,Primitives!$C$42:$E$44,Primitives!$C$46:$E$48,Primitives!$C$50:$E$52,Primitives!$C$54:$E$56,Primitives!$C$58:$E$60),$N14,AF$13))</f>
        <v>1</v>
      </c>
      <c r="AG14" s="64">
        <f>IF(AND($K14=Calc.Top, AG$10=Calc.Left),Player.Direction,INDEX(CHOOSE(INDEX(MazeDef,$L14,AG$11),Primitives!$C$2:$E$4,Primitives!$C$6:$E$8,Primitives!$C$10:$E$12,Primitives!$C$14:$E$16,Primitives!$C$18:$E$20,Primitives!$C$22:$E$24,Primitives!$C$26:$E$28,Primitives!$C$30:$E$32,Primitives!$C$34:$E$36,Primitives!$C$38:$E$40,Primitives!$C$42:$E$44,Primitives!$C$46:$E$48,Primitives!$C$50:$E$52,Primitives!$C$54:$E$56,Primitives!$C$58:$E$60),$N14,AG$13))</f>
        <v>1</v>
      </c>
      <c r="AH14" s="64">
        <f>IF(AND($K14=Calc.Top, AH$10=Calc.Left),Player.Direction,INDEX(CHOOSE(INDEX(MazeDef,$L14,AH$11),Primitives!$C$2:$E$4,Primitives!$C$6:$E$8,Primitives!$C$10:$E$12,Primitives!$C$14:$E$16,Primitives!$C$18:$E$20,Primitives!$C$22:$E$24,Primitives!$C$26:$E$28,Primitives!$C$30:$E$32,Primitives!$C$34:$E$36,Primitives!$C$38:$E$40,Primitives!$C$42:$E$44,Primitives!$C$46:$E$48,Primitives!$C$50:$E$52,Primitives!$C$54:$E$56,Primitives!$C$58:$E$60),$N14,AH$13))</f>
        <v>1</v>
      </c>
      <c r="AI14" s="64">
        <f>IF(AND($K14=Calc.Top, AI$10=Calc.Left),Player.Direction,INDEX(CHOOSE(INDEX(MazeDef,$L14,AI$11),Primitives!$C$2:$E$4,Primitives!$C$6:$E$8,Primitives!$C$10:$E$12,Primitives!$C$14:$E$16,Primitives!$C$18:$E$20,Primitives!$C$22:$E$24,Primitives!$C$26:$E$28,Primitives!$C$30:$E$32,Primitives!$C$34:$E$36,Primitives!$C$38:$E$40,Primitives!$C$42:$E$44,Primitives!$C$46:$E$48,Primitives!$C$50:$E$52,Primitives!$C$54:$E$56,Primitives!$C$58:$E$60),$N14,AI$13))</f>
        <v>1</v>
      </c>
      <c r="AJ14" s="64">
        <f>IF(AND($K14=Calc.Top, AJ$10=Calc.Left),Player.Direction,INDEX(CHOOSE(INDEX(MazeDef,$L14,AJ$11),Primitives!$C$2:$E$4,Primitives!$C$6:$E$8,Primitives!$C$10:$E$12,Primitives!$C$14:$E$16,Primitives!$C$18:$E$20,Primitives!$C$22:$E$24,Primitives!$C$26:$E$28,Primitives!$C$30:$E$32,Primitives!$C$34:$E$36,Primitives!$C$38:$E$40,Primitives!$C$42:$E$44,Primitives!$C$46:$E$48,Primitives!$C$50:$E$52,Primitives!$C$54:$E$56,Primitives!$C$58:$E$60),$N14,AJ$13))</f>
        <v>1</v>
      </c>
      <c r="AK14" s="64">
        <f>IF(AND($K14=Calc.Top, AK$10=Calc.Left),Player.Direction,INDEX(CHOOSE(INDEX(MazeDef,$L14,AK$11),Primitives!$C$2:$E$4,Primitives!$C$6:$E$8,Primitives!$C$10:$E$12,Primitives!$C$14:$E$16,Primitives!$C$18:$E$20,Primitives!$C$22:$E$24,Primitives!$C$26:$E$28,Primitives!$C$30:$E$32,Primitives!$C$34:$E$36,Primitives!$C$38:$E$40,Primitives!$C$42:$E$44,Primitives!$C$46:$E$48,Primitives!$C$50:$E$52,Primitives!$C$54:$E$56,Primitives!$C$58:$E$60),$N14,AK$13))</f>
        <v>1</v>
      </c>
      <c r="AL14" s="64">
        <f>IF(AND($K14=Calc.Top, AL$10=Calc.Left),Player.Direction,INDEX(CHOOSE(INDEX(MazeDef,$L14,AL$11),Primitives!$C$2:$E$4,Primitives!$C$6:$E$8,Primitives!$C$10:$E$12,Primitives!$C$14:$E$16,Primitives!$C$18:$E$20,Primitives!$C$22:$E$24,Primitives!$C$26:$E$28,Primitives!$C$30:$E$32,Primitives!$C$34:$E$36,Primitives!$C$38:$E$40,Primitives!$C$42:$E$44,Primitives!$C$46:$E$48,Primitives!$C$50:$E$52,Primitives!$C$54:$E$56,Primitives!$C$58:$E$60),$N14,AL$13))</f>
        <v>1</v>
      </c>
      <c r="AM14" s="64">
        <f>IF(AND($K14=Calc.Top, AM$10=Calc.Left),Player.Direction,INDEX(CHOOSE(INDEX(MazeDef,$L14,AM$11),Primitives!$C$2:$E$4,Primitives!$C$6:$E$8,Primitives!$C$10:$E$12,Primitives!$C$14:$E$16,Primitives!$C$18:$E$20,Primitives!$C$22:$E$24,Primitives!$C$26:$E$28,Primitives!$C$30:$E$32,Primitives!$C$34:$E$36,Primitives!$C$38:$E$40,Primitives!$C$42:$E$44,Primitives!$C$46:$E$48,Primitives!$C$50:$E$52,Primitives!$C$54:$E$56,Primitives!$C$58:$E$60),$N14,AM$13))</f>
        <v>1</v>
      </c>
      <c r="AN14" s="64">
        <f>IF(AND($K14=Calc.Top, AN$10=Calc.Left),Player.Direction,INDEX(CHOOSE(INDEX(MazeDef,$L14,AN$11),Primitives!$C$2:$E$4,Primitives!$C$6:$E$8,Primitives!$C$10:$E$12,Primitives!$C$14:$E$16,Primitives!$C$18:$E$20,Primitives!$C$22:$E$24,Primitives!$C$26:$E$28,Primitives!$C$30:$E$32,Primitives!$C$34:$E$36,Primitives!$C$38:$E$40,Primitives!$C$42:$E$44,Primitives!$C$46:$E$48,Primitives!$C$50:$E$52,Primitives!$C$54:$E$56,Primitives!$C$58:$E$60),$N14,AN$13))</f>
        <v>1</v>
      </c>
      <c r="AO14" s="64">
        <f>IF(AND($K14=Calc.Top, AO$10=Calc.Left),Player.Direction,INDEX(CHOOSE(INDEX(MazeDef,$L14,AO$11),Primitives!$C$2:$E$4,Primitives!$C$6:$E$8,Primitives!$C$10:$E$12,Primitives!$C$14:$E$16,Primitives!$C$18:$E$20,Primitives!$C$22:$E$24,Primitives!$C$26:$E$28,Primitives!$C$30:$E$32,Primitives!$C$34:$E$36,Primitives!$C$38:$E$40,Primitives!$C$42:$E$44,Primitives!$C$46:$E$48,Primitives!$C$50:$E$52,Primitives!$C$54:$E$56,Primitives!$C$58:$E$60),$N14,AO$13))</f>
        <v>1</v>
      </c>
      <c r="AP14" s="64">
        <f>IF(AND($K14=Calc.Top, AP$10=Calc.Left),Player.Direction,INDEX(CHOOSE(INDEX(MazeDef,$L14,AP$11),Primitives!$C$2:$E$4,Primitives!$C$6:$E$8,Primitives!$C$10:$E$12,Primitives!$C$14:$E$16,Primitives!$C$18:$E$20,Primitives!$C$22:$E$24,Primitives!$C$26:$E$28,Primitives!$C$30:$E$32,Primitives!$C$34:$E$36,Primitives!$C$38:$E$40,Primitives!$C$42:$E$44,Primitives!$C$46:$E$48,Primitives!$C$50:$E$52,Primitives!$C$54:$E$56,Primitives!$C$58:$E$60),$N14,AP$13))</f>
        <v>1</v>
      </c>
      <c r="AQ14" s="64">
        <f>IF(AND($K14=Calc.Top, AQ$10=Calc.Left),Player.Direction,INDEX(CHOOSE(INDEX(MazeDef,$L14,AQ$11),Primitives!$C$2:$E$4,Primitives!$C$6:$E$8,Primitives!$C$10:$E$12,Primitives!$C$14:$E$16,Primitives!$C$18:$E$20,Primitives!$C$22:$E$24,Primitives!$C$26:$E$28,Primitives!$C$30:$E$32,Primitives!$C$34:$E$36,Primitives!$C$38:$E$40,Primitives!$C$42:$E$44,Primitives!$C$46:$E$48,Primitives!$C$50:$E$52,Primitives!$C$54:$E$56,Primitives!$C$58:$E$60),$N14,AQ$13))</f>
        <v>1</v>
      </c>
      <c r="AR14" s="64">
        <f>IF(AND($K14=Calc.Top, AR$10=Calc.Left),Player.Direction,INDEX(CHOOSE(INDEX(MazeDef,$L14,AR$11),Primitives!$C$2:$E$4,Primitives!$C$6:$E$8,Primitives!$C$10:$E$12,Primitives!$C$14:$E$16,Primitives!$C$18:$E$20,Primitives!$C$22:$E$24,Primitives!$C$26:$E$28,Primitives!$C$30:$E$32,Primitives!$C$34:$E$36,Primitives!$C$38:$E$40,Primitives!$C$42:$E$44,Primitives!$C$46:$E$48,Primitives!$C$50:$E$52,Primitives!$C$54:$E$56,Primitives!$C$58:$E$60),$N14,AR$13))</f>
        <v>1</v>
      </c>
      <c r="AS14" s="2"/>
      <c r="AT14" s="2"/>
      <c r="AU14" s="2"/>
      <c r="AV14" s="2"/>
    </row>
    <row r="15" spans="1:65" ht="9.75" customHeight="1" x14ac:dyDescent="0.25">
      <c r="A15" s="5">
        <v>1</v>
      </c>
      <c r="B15" s="21">
        <v>1</v>
      </c>
      <c r="C15" s="21"/>
      <c r="D15" s="21"/>
      <c r="E15" s="2"/>
      <c r="F15" s="2"/>
      <c r="G15" s="2"/>
      <c r="H15" s="2"/>
      <c r="I15" s="2"/>
      <c r="J15" s="2"/>
      <c r="K15" s="2">
        <v>2</v>
      </c>
      <c r="L15" s="2">
        <v>1</v>
      </c>
      <c r="M15" s="75"/>
      <c r="N15" s="8">
        <v>2</v>
      </c>
      <c r="O15" s="64">
        <f>IF(AND($K15=Calc.Top, O$10=Calc.Left),Player.Direction,INDEX(CHOOSE(INDEX(MazeDef,$L15,O$11),Primitives!$C$2:$E$4,Primitives!$C$6:$E$8,Primitives!$C$10:$E$12,Primitives!$C$14:$E$16,Primitives!$C$18:$E$20,Primitives!$C$22:$E$24,Primitives!$C$26:$E$28,Primitives!$C$30:$E$32,Primitives!$C$34:$E$36,Primitives!$C$38:$E$40,Primitives!$C$42:$E$44,Primitives!$C$46:$E$48,Primitives!$C$50:$E$52,Primitives!$C$54:$E$56,Primitives!$C$58:$E$60),$N15,O$13))</f>
        <v>1</v>
      </c>
      <c r="P15" s="64">
        <f>IF(AND($K15=Calc.Top, P$10=Calc.Left),Player.Direction,INDEX(CHOOSE(INDEX(MazeDef,$L15,P$11),Primitives!$C$2:$E$4,Primitives!$C$6:$E$8,Primitives!$C$10:$E$12,Primitives!$C$14:$E$16,Primitives!$C$18:$E$20,Primitives!$C$22:$E$24,Primitives!$C$26:$E$28,Primitives!$C$30:$E$32,Primitives!$C$34:$E$36,Primitives!$C$38:$E$40,Primitives!$C$42:$E$44,Primitives!$C$46:$E$48,Primitives!$C$50:$E$52,Primitives!$C$54:$E$56,Primitives!$C$58:$E$60),$N15,P$13))</f>
        <v>0</v>
      </c>
      <c r="Q15" s="64">
        <f>IF(AND($K15=Calc.Top, Q$10=Calc.Left),Player.Direction,INDEX(CHOOSE(INDEX(MazeDef,$L15,Q$11),Primitives!$C$2:$E$4,Primitives!$C$6:$E$8,Primitives!$C$10:$E$12,Primitives!$C$14:$E$16,Primitives!$C$18:$E$20,Primitives!$C$22:$E$24,Primitives!$C$26:$E$28,Primitives!$C$30:$E$32,Primitives!$C$34:$E$36,Primitives!$C$38:$E$40,Primitives!$C$42:$E$44,Primitives!$C$46:$E$48,Primitives!$C$50:$E$52,Primitives!$C$54:$E$56,Primitives!$C$58:$E$60),$N15,Q$13))</f>
        <v>0</v>
      </c>
      <c r="R15" s="64">
        <f>IF(AND($K15=Calc.Top, R$10=Calc.Left),Player.Direction,INDEX(CHOOSE(INDEX(MazeDef,$L15,R$11),Primitives!$C$2:$E$4,Primitives!$C$6:$E$8,Primitives!$C$10:$E$12,Primitives!$C$14:$E$16,Primitives!$C$18:$E$20,Primitives!$C$22:$E$24,Primitives!$C$26:$E$28,Primitives!$C$30:$E$32,Primitives!$C$34:$E$36,Primitives!$C$38:$E$40,Primitives!$C$42:$E$44,Primitives!$C$46:$E$48,Primitives!$C$50:$E$52,Primitives!$C$54:$E$56,Primitives!$C$58:$E$60),$N15,R$13))</f>
        <v>0</v>
      </c>
      <c r="S15" s="64">
        <f>IF(AND($K15=Calc.Top, S$10=Calc.Left),Player.Direction,INDEX(CHOOSE(INDEX(MazeDef,$L15,S$11),Primitives!$C$2:$E$4,Primitives!$C$6:$E$8,Primitives!$C$10:$E$12,Primitives!$C$14:$E$16,Primitives!$C$18:$E$20,Primitives!$C$22:$E$24,Primitives!$C$26:$E$28,Primitives!$C$30:$E$32,Primitives!$C$34:$E$36,Primitives!$C$38:$E$40,Primitives!$C$42:$E$44,Primitives!$C$46:$E$48,Primitives!$C$50:$E$52,Primitives!$C$54:$E$56,Primitives!$C$58:$E$60),$N15,S$13))</f>
        <v>0</v>
      </c>
      <c r="T15" s="64">
        <f>IF(AND($K15=Calc.Top, T$10=Calc.Left),Player.Direction,INDEX(CHOOSE(INDEX(MazeDef,$L15,T$11),Primitives!$C$2:$E$4,Primitives!$C$6:$E$8,Primitives!$C$10:$E$12,Primitives!$C$14:$E$16,Primitives!$C$18:$E$20,Primitives!$C$22:$E$24,Primitives!$C$26:$E$28,Primitives!$C$30:$E$32,Primitives!$C$34:$E$36,Primitives!$C$38:$E$40,Primitives!$C$42:$E$44,Primitives!$C$46:$E$48,Primitives!$C$50:$E$52,Primitives!$C$54:$E$56,Primitives!$C$58:$E$60),$N15,T$13))</f>
        <v>0</v>
      </c>
      <c r="U15" s="64">
        <f>IF(AND($K15=Calc.Top, U$10=Calc.Left),Player.Direction,INDEX(CHOOSE(INDEX(MazeDef,$L15,U$11),Primitives!$C$2:$E$4,Primitives!$C$6:$E$8,Primitives!$C$10:$E$12,Primitives!$C$14:$E$16,Primitives!$C$18:$E$20,Primitives!$C$22:$E$24,Primitives!$C$26:$E$28,Primitives!$C$30:$E$32,Primitives!$C$34:$E$36,Primitives!$C$38:$E$40,Primitives!$C$42:$E$44,Primitives!$C$46:$E$48,Primitives!$C$50:$E$52,Primitives!$C$54:$E$56,Primitives!$C$58:$E$60),$N15,U$13))</f>
        <v>0</v>
      </c>
      <c r="V15" s="64">
        <f>IF(AND($K15=Calc.Top, V$10=Calc.Left),Player.Direction,INDEX(CHOOSE(INDEX(MazeDef,$L15,V$11),Primitives!$C$2:$E$4,Primitives!$C$6:$E$8,Primitives!$C$10:$E$12,Primitives!$C$14:$E$16,Primitives!$C$18:$E$20,Primitives!$C$22:$E$24,Primitives!$C$26:$E$28,Primitives!$C$30:$E$32,Primitives!$C$34:$E$36,Primitives!$C$38:$E$40,Primitives!$C$42:$E$44,Primitives!$C$46:$E$48,Primitives!$C$50:$E$52,Primitives!$C$54:$E$56,Primitives!$C$58:$E$60),$N15,V$13))</f>
        <v>0</v>
      </c>
      <c r="W15" s="64">
        <f>IF(AND($K15=Calc.Top, W$10=Calc.Left),Player.Direction,INDEX(CHOOSE(INDEX(MazeDef,$L15,W$11),Primitives!$C$2:$E$4,Primitives!$C$6:$E$8,Primitives!$C$10:$E$12,Primitives!$C$14:$E$16,Primitives!$C$18:$E$20,Primitives!$C$22:$E$24,Primitives!$C$26:$E$28,Primitives!$C$30:$E$32,Primitives!$C$34:$E$36,Primitives!$C$38:$E$40,Primitives!$C$42:$E$44,Primitives!$C$46:$E$48,Primitives!$C$50:$E$52,Primitives!$C$54:$E$56,Primitives!$C$58:$E$60),$N15,W$13))</f>
        <v>0</v>
      </c>
      <c r="X15" s="64">
        <f>IF(AND($K15=Calc.Top, X$10=Calc.Left),Player.Direction,INDEX(CHOOSE(INDEX(MazeDef,$L15,X$11),Primitives!$C$2:$E$4,Primitives!$C$6:$E$8,Primitives!$C$10:$E$12,Primitives!$C$14:$E$16,Primitives!$C$18:$E$20,Primitives!$C$22:$E$24,Primitives!$C$26:$E$28,Primitives!$C$30:$E$32,Primitives!$C$34:$E$36,Primitives!$C$38:$E$40,Primitives!$C$42:$E$44,Primitives!$C$46:$E$48,Primitives!$C$50:$E$52,Primitives!$C$54:$E$56,Primitives!$C$58:$E$60),$N15,X$13))</f>
        <v>0</v>
      </c>
      <c r="Y15" s="64">
        <f>IF(AND($K15=Calc.Top, Y$10=Calc.Left),Player.Direction,INDEX(CHOOSE(INDEX(MazeDef,$L15,Y$11),Primitives!$C$2:$E$4,Primitives!$C$6:$E$8,Primitives!$C$10:$E$12,Primitives!$C$14:$E$16,Primitives!$C$18:$E$20,Primitives!$C$22:$E$24,Primitives!$C$26:$E$28,Primitives!$C$30:$E$32,Primitives!$C$34:$E$36,Primitives!$C$38:$E$40,Primitives!$C$42:$E$44,Primitives!$C$46:$E$48,Primitives!$C$50:$E$52,Primitives!$C$54:$E$56,Primitives!$C$58:$E$60),$N15,Y$13))</f>
        <v>0</v>
      </c>
      <c r="Z15" s="64">
        <f>IF(AND($K15=Calc.Top, Z$10=Calc.Left),Player.Direction,INDEX(CHOOSE(INDEX(MazeDef,$L15,Z$11),Primitives!$C$2:$E$4,Primitives!$C$6:$E$8,Primitives!$C$10:$E$12,Primitives!$C$14:$E$16,Primitives!$C$18:$E$20,Primitives!$C$22:$E$24,Primitives!$C$26:$E$28,Primitives!$C$30:$E$32,Primitives!$C$34:$E$36,Primitives!$C$38:$E$40,Primitives!$C$42:$E$44,Primitives!$C$46:$E$48,Primitives!$C$50:$E$52,Primitives!$C$54:$E$56,Primitives!$C$58:$E$60),$N15,Z$13))</f>
        <v>0</v>
      </c>
      <c r="AA15" s="64">
        <f>IF(AND($K15=Calc.Top, AA$10=Calc.Left),Player.Direction,INDEX(CHOOSE(INDEX(MazeDef,$L15,AA$11),Primitives!$C$2:$E$4,Primitives!$C$6:$E$8,Primitives!$C$10:$E$12,Primitives!$C$14:$E$16,Primitives!$C$18:$E$20,Primitives!$C$22:$E$24,Primitives!$C$26:$E$28,Primitives!$C$30:$E$32,Primitives!$C$34:$E$36,Primitives!$C$38:$E$40,Primitives!$C$42:$E$44,Primitives!$C$46:$E$48,Primitives!$C$50:$E$52,Primitives!$C$54:$E$56,Primitives!$C$58:$E$60),$N15,AA$13))</f>
        <v>0</v>
      </c>
      <c r="AB15" s="64">
        <f>IF(AND($K15=Calc.Top, AB$10=Calc.Left),Player.Direction,INDEX(CHOOSE(INDEX(MazeDef,$L15,AB$11),Primitives!$C$2:$E$4,Primitives!$C$6:$E$8,Primitives!$C$10:$E$12,Primitives!$C$14:$E$16,Primitives!$C$18:$E$20,Primitives!$C$22:$E$24,Primitives!$C$26:$E$28,Primitives!$C$30:$E$32,Primitives!$C$34:$E$36,Primitives!$C$38:$E$40,Primitives!$C$42:$E$44,Primitives!$C$46:$E$48,Primitives!$C$50:$E$52,Primitives!$C$54:$E$56,Primitives!$C$58:$E$60),$N15,AB$13))</f>
        <v>0</v>
      </c>
      <c r="AC15" s="64">
        <f>IF(AND($K15=Calc.Top, AC$10=Calc.Left),Player.Direction,INDEX(CHOOSE(INDEX(MazeDef,$L15,AC$11),Primitives!$C$2:$E$4,Primitives!$C$6:$E$8,Primitives!$C$10:$E$12,Primitives!$C$14:$E$16,Primitives!$C$18:$E$20,Primitives!$C$22:$E$24,Primitives!$C$26:$E$28,Primitives!$C$30:$E$32,Primitives!$C$34:$E$36,Primitives!$C$38:$E$40,Primitives!$C$42:$E$44,Primitives!$C$46:$E$48,Primitives!$C$50:$E$52,Primitives!$C$54:$E$56,Primitives!$C$58:$E$60),$N15,AC$13))</f>
        <v>0</v>
      </c>
      <c r="AD15" s="64">
        <f>IF(AND($K15=Calc.Top, AD$10=Calc.Left),Player.Direction,INDEX(CHOOSE(INDEX(MazeDef,$L15,AD$11),Primitives!$C$2:$E$4,Primitives!$C$6:$E$8,Primitives!$C$10:$E$12,Primitives!$C$14:$E$16,Primitives!$C$18:$E$20,Primitives!$C$22:$E$24,Primitives!$C$26:$E$28,Primitives!$C$30:$E$32,Primitives!$C$34:$E$36,Primitives!$C$38:$E$40,Primitives!$C$42:$E$44,Primitives!$C$46:$E$48,Primitives!$C$50:$E$52,Primitives!$C$54:$E$56,Primitives!$C$58:$E$60),$N15,AD$13))</f>
        <v>0</v>
      </c>
      <c r="AE15" s="64">
        <f>IF(AND($K15=Calc.Top, AE$10=Calc.Left),Player.Direction,INDEX(CHOOSE(INDEX(MazeDef,$L15,AE$11),Primitives!$C$2:$E$4,Primitives!$C$6:$E$8,Primitives!$C$10:$E$12,Primitives!$C$14:$E$16,Primitives!$C$18:$E$20,Primitives!$C$22:$E$24,Primitives!$C$26:$E$28,Primitives!$C$30:$E$32,Primitives!$C$34:$E$36,Primitives!$C$38:$E$40,Primitives!$C$42:$E$44,Primitives!$C$46:$E$48,Primitives!$C$50:$E$52,Primitives!$C$54:$E$56,Primitives!$C$58:$E$60),$N15,AE$13))</f>
        <v>0</v>
      </c>
      <c r="AF15" s="64">
        <f>IF(AND($K15=Calc.Top, AF$10=Calc.Left),Player.Direction,INDEX(CHOOSE(INDEX(MazeDef,$L15,AF$11),Primitives!$C$2:$E$4,Primitives!$C$6:$E$8,Primitives!$C$10:$E$12,Primitives!$C$14:$E$16,Primitives!$C$18:$E$20,Primitives!$C$22:$E$24,Primitives!$C$26:$E$28,Primitives!$C$30:$E$32,Primitives!$C$34:$E$36,Primitives!$C$38:$E$40,Primitives!$C$42:$E$44,Primitives!$C$46:$E$48,Primitives!$C$50:$E$52,Primitives!$C$54:$E$56,Primitives!$C$58:$E$60),$N15,AF$13))</f>
        <v>0</v>
      </c>
      <c r="AG15" s="64">
        <f>IF(AND($K15=Calc.Top, AG$10=Calc.Left),Player.Direction,INDEX(CHOOSE(INDEX(MazeDef,$L15,AG$11),Primitives!$C$2:$E$4,Primitives!$C$6:$E$8,Primitives!$C$10:$E$12,Primitives!$C$14:$E$16,Primitives!$C$18:$E$20,Primitives!$C$22:$E$24,Primitives!$C$26:$E$28,Primitives!$C$30:$E$32,Primitives!$C$34:$E$36,Primitives!$C$38:$E$40,Primitives!$C$42:$E$44,Primitives!$C$46:$E$48,Primitives!$C$50:$E$52,Primitives!$C$54:$E$56,Primitives!$C$58:$E$60),$N15,AG$13))</f>
        <v>0</v>
      </c>
      <c r="AH15" s="64">
        <f>IF(AND($K15=Calc.Top, AH$10=Calc.Left),Player.Direction,INDEX(CHOOSE(INDEX(MazeDef,$L15,AH$11),Primitives!$C$2:$E$4,Primitives!$C$6:$E$8,Primitives!$C$10:$E$12,Primitives!$C$14:$E$16,Primitives!$C$18:$E$20,Primitives!$C$22:$E$24,Primitives!$C$26:$E$28,Primitives!$C$30:$E$32,Primitives!$C$34:$E$36,Primitives!$C$38:$E$40,Primitives!$C$42:$E$44,Primitives!$C$46:$E$48,Primitives!$C$50:$E$52,Primitives!$C$54:$E$56,Primitives!$C$58:$E$60),$N15,AH$13))</f>
        <v>0</v>
      </c>
      <c r="AI15" s="64">
        <f>IF(AND($K15=Calc.Top, AI$10=Calc.Left),Player.Direction,INDEX(CHOOSE(INDEX(MazeDef,$L15,AI$11),Primitives!$C$2:$E$4,Primitives!$C$6:$E$8,Primitives!$C$10:$E$12,Primitives!$C$14:$E$16,Primitives!$C$18:$E$20,Primitives!$C$22:$E$24,Primitives!$C$26:$E$28,Primitives!$C$30:$E$32,Primitives!$C$34:$E$36,Primitives!$C$38:$E$40,Primitives!$C$42:$E$44,Primitives!$C$46:$E$48,Primitives!$C$50:$E$52,Primitives!$C$54:$E$56,Primitives!$C$58:$E$60),$N15,AI$13))</f>
        <v>1</v>
      </c>
      <c r="AJ15" s="64">
        <f>IF(AND($K15=Calc.Top, AJ$10=Calc.Left),Player.Direction,INDEX(CHOOSE(INDEX(MazeDef,$L15,AJ$11),Primitives!$C$2:$E$4,Primitives!$C$6:$E$8,Primitives!$C$10:$E$12,Primitives!$C$14:$E$16,Primitives!$C$18:$E$20,Primitives!$C$22:$E$24,Primitives!$C$26:$E$28,Primitives!$C$30:$E$32,Primitives!$C$34:$E$36,Primitives!$C$38:$E$40,Primitives!$C$42:$E$44,Primitives!$C$46:$E$48,Primitives!$C$50:$E$52,Primitives!$C$54:$E$56,Primitives!$C$58:$E$60),$N15,AJ$13))</f>
        <v>1</v>
      </c>
      <c r="AK15" s="64">
        <f>IF(AND($K15=Calc.Top, AK$10=Calc.Left),Player.Direction,INDEX(CHOOSE(INDEX(MazeDef,$L15,AK$11),Primitives!$C$2:$E$4,Primitives!$C$6:$E$8,Primitives!$C$10:$E$12,Primitives!$C$14:$E$16,Primitives!$C$18:$E$20,Primitives!$C$22:$E$24,Primitives!$C$26:$E$28,Primitives!$C$30:$E$32,Primitives!$C$34:$E$36,Primitives!$C$38:$E$40,Primitives!$C$42:$E$44,Primitives!$C$46:$E$48,Primitives!$C$50:$E$52,Primitives!$C$54:$E$56,Primitives!$C$58:$E$60),$N15,AK$13))</f>
        <v>0</v>
      </c>
      <c r="AL15" s="64">
        <f>IF(AND($K15=Calc.Top, AL$10=Calc.Left),Player.Direction,INDEX(CHOOSE(INDEX(MazeDef,$L15,AL$11),Primitives!$C$2:$E$4,Primitives!$C$6:$E$8,Primitives!$C$10:$E$12,Primitives!$C$14:$E$16,Primitives!$C$18:$E$20,Primitives!$C$22:$E$24,Primitives!$C$26:$E$28,Primitives!$C$30:$E$32,Primitives!$C$34:$E$36,Primitives!$C$38:$E$40,Primitives!$C$42:$E$44,Primitives!$C$46:$E$48,Primitives!$C$50:$E$52,Primitives!$C$54:$E$56,Primitives!$C$58:$E$60),$N15,AL$13))</f>
        <v>0</v>
      </c>
      <c r="AM15" s="64">
        <f>IF(AND($K15=Calc.Top, AM$10=Calc.Left),Player.Direction,INDEX(CHOOSE(INDEX(MazeDef,$L15,AM$11),Primitives!$C$2:$E$4,Primitives!$C$6:$E$8,Primitives!$C$10:$E$12,Primitives!$C$14:$E$16,Primitives!$C$18:$E$20,Primitives!$C$22:$E$24,Primitives!$C$26:$E$28,Primitives!$C$30:$E$32,Primitives!$C$34:$E$36,Primitives!$C$38:$E$40,Primitives!$C$42:$E$44,Primitives!$C$46:$E$48,Primitives!$C$50:$E$52,Primitives!$C$54:$E$56,Primitives!$C$58:$E$60),$N15,AM$13))</f>
        <v>0</v>
      </c>
      <c r="AN15" s="64">
        <f>IF(AND($K15=Calc.Top, AN$10=Calc.Left),Player.Direction,INDEX(CHOOSE(INDEX(MazeDef,$L15,AN$11),Primitives!$C$2:$E$4,Primitives!$C$6:$E$8,Primitives!$C$10:$E$12,Primitives!$C$14:$E$16,Primitives!$C$18:$E$20,Primitives!$C$22:$E$24,Primitives!$C$26:$E$28,Primitives!$C$30:$E$32,Primitives!$C$34:$E$36,Primitives!$C$38:$E$40,Primitives!$C$42:$E$44,Primitives!$C$46:$E$48,Primitives!$C$50:$E$52,Primitives!$C$54:$E$56,Primitives!$C$58:$E$60),$N15,AN$13))</f>
        <v>0</v>
      </c>
      <c r="AO15" s="64">
        <f>IF(AND($K15=Calc.Top, AO$10=Calc.Left),Player.Direction,INDEX(CHOOSE(INDEX(MazeDef,$L15,AO$11),Primitives!$C$2:$E$4,Primitives!$C$6:$E$8,Primitives!$C$10:$E$12,Primitives!$C$14:$E$16,Primitives!$C$18:$E$20,Primitives!$C$22:$E$24,Primitives!$C$26:$E$28,Primitives!$C$30:$E$32,Primitives!$C$34:$E$36,Primitives!$C$38:$E$40,Primitives!$C$42:$E$44,Primitives!$C$46:$E$48,Primitives!$C$50:$E$52,Primitives!$C$54:$E$56,Primitives!$C$58:$E$60),$N15,AO$13))</f>
        <v>0</v>
      </c>
      <c r="AP15" s="64">
        <f>IF(AND($K15=Calc.Top, AP$10=Calc.Left),Player.Direction,INDEX(CHOOSE(INDEX(MazeDef,$L15,AP$11),Primitives!$C$2:$E$4,Primitives!$C$6:$E$8,Primitives!$C$10:$E$12,Primitives!$C$14:$E$16,Primitives!$C$18:$E$20,Primitives!$C$22:$E$24,Primitives!$C$26:$E$28,Primitives!$C$30:$E$32,Primitives!$C$34:$E$36,Primitives!$C$38:$E$40,Primitives!$C$42:$E$44,Primitives!$C$46:$E$48,Primitives!$C$50:$E$52,Primitives!$C$54:$E$56,Primitives!$C$58:$E$60),$N15,AP$13))</f>
        <v>0</v>
      </c>
      <c r="AQ15" s="64">
        <f>IF(AND($K15=Calc.Top, AQ$10=Calc.Left),Player.Direction,INDEX(CHOOSE(INDEX(MazeDef,$L15,AQ$11),Primitives!$C$2:$E$4,Primitives!$C$6:$E$8,Primitives!$C$10:$E$12,Primitives!$C$14:$E$16,Primitives!$C$18:$E$20,Primitives!$C$22:$E$24,Primitives!$C$26:$E$28,Primitives!$C$30:$E$32,Primitives!$C$34:$E$36,Primitives!$C$38:$E$40,Primitives!$C$42:$E$44,Primitives!$C$46:$E$48,Primitives!$C$50:$E$52,Primitives!$C$54:$E$56,Primitives!$C$58:$E$60),$N15,AQ$13))</f>
        <v>0</v>
      </c>
      <c r="AR15" s="64">
        <f>IF(AND($K15=Calc.Top, AR$10=Calc.Left),Player.Direction,INDEX(CHOOSE(INDEX(MazeDef,$L15,AR$11),Primitives!$C$2:$E$4,Primitives!$C$6:$E$8,Primitives!$C$10:$E$12,Primitives!$C$14:$E$16,Primitives!$C$18:$E$20,Primitives!$C$22:$E$24,Primitives!$C$26:$E$28,Primitives!$C$30:$E$32,Primitives!$C$34:$E$36,Primitives!$C$38:$E$40,Primitives!$C$42:$E$44,Primitives!$C$46:$E$48,Primitives!$C$50:$E$52,Primitives!$C$54:$E$56,Primitives!$C$58:$E$60),$N15,AR$13))</f>
        <v>1</v>
      </c>
      <c r="AS15" s="2"/>
      <c r="AT15" s="2"/>
      <c r="AU15" s="2"/>
      <c r="AV15" s="2"/>
    </row>
    <row r="16" spans="1:65" ht="9" customHeight="1" x14ac:dyDescent="0.25">
      <c r="A16" s="5"/>
      <c r="B16" s="21">
        <v>1</v>
      </c>
      <c r="C16" s="21">
        <v>1</v>
      </c>
      <c r="D16" s="21">
        <v>1</v>
      </c>
      <c r="E16" s="2"/>
      <c r="F16" s="2"/>
      <c r="G16" s="2"/>
      <c r="H16" s="2"/>
      <c r="I16" s="2"/>
      <c r="J16" s="2"/>
      <c r="K16" s="2">
        <v>3</v>
      </c>
      <c r="L16" s="2">
        <v>1</v>
      </c>
      <c r="M16" s="76"/>
      <c r="N16" s="9">
        <v>3</v>
      </c>
      <c r="O16" s="64">
        <f>IF(AND($K16=Calc.Top, O$10=Calc.Left),Player.Direction,INDEX(CHOOSE(INDEX(MazeDef,$L16,O$11),Primitives!$C$2:$E$4,Primitives!$C$6:$E$8,Primitives!$C$10:$E$12,Primitives!$C$14:$E$16,Primitives!$C$18:$E$20,Primitives!$C$22:$E$24,Primitives!$C$26:$E$28,Primitives!$C$30:$E$32,Primitives!$C$34:$E$36,Primitives!$C$38:$E$40,Primitives!$C$42:$E$44,Primitives!$C$46:$E$48,Primitives!$C$50:$E$52,Primitives!$C$54:$E$56,Primitives!$C$58:$E$60),$N16,O$13))</f>
        <v>1</v>
      </c>
      <c r="P16" s="64">
        <f>IF(AND($K16=Calc.Top, P$10=Calc.Left),Player.Direction,INDEX(CHOOSE(INDEX(MazeDef,$L16,P$11),Primitives!$C$2:$E$4,Primitives!$C$6:$E$8,Primitives!$C$10:$E$12,Primitives!$C$14:$E$16,Primitives!$C$18:$E$20,Primitives!$C$22:$E$24,Primitives!$C$26:$E$28,Primitives!$C$30:$E$32,Primitives!$C$34:$E$36,Primitives!$C$38:$E$40,Primitives!$C$42:$E$44,Primitives!$C$46:$E$48,Primitives!$C$50:$E$52,Primitives!$C$54:$E$56,Primitives!$C$58:$E$60),$N16,P$13))</f>
        <v>1</v>
      </c>
      <c r="Q16" s="64">
        <f>IF(AND($K16=Calc.Top, Q$10=Calc.Left),Player.Direction,INDEX(CHOOSE(INDEX(MazeDef,$L16,Q$11),Primitives!$C$2:$E$4,Primitives!$C$6:$E$8,Primitives!$C$10:$E$12,Primitives!$C$14:$E$16,Primitives!$C$18:$E$20,Primitives!$C$22:$E$24,Primitives!$C$26:$E$28,Primitives!$C$30:$E$32,Primitives!$C$34:$E$36,Primitives!$C$38:$E$40,Primitives!$C$42:$E$44,Primitives!$C$46:$E$48,Primitives!$C$50:$E$52,Primitives!$C$54:$E$56,Primitives!$C$58:$E$60),$N16,Q$13))</f>
        <v>1</v>
      </c>
      <c r="R16" s="64">
        <f>IF(AND($K16=Calc.Top, R$10=Calc.Left),Player.Direction,INDEX(CHOOSE(INDEX(MazeDef,$L16,R$11),Primitives!$C$2:$E$4,Primitives!$C$6:$E$8,Primitives!$C$10:$E$12,Primitives!$C$14:$E$16,Primitives!$C$18:$E$20,Primitives!$C$22:$E$24,Primitives!$C$26:$E$28,Primitives!$C$30:$E$32,Primitives!$C$34:$E$36,Primitives!$C$38:$E$40,Primitives!$C$42:$E$44,Primitives!$C$46:$E$48,Primitives!$C$50:$E$52,Primitives!$C$54:$E$56,Primitives!$C$58:$E$60),$N16,R$13))</f>
        <v>1</v>
      </c>
      <c r="S16" s="64">
        <f>IF(AND($K16=Calc.Top, S$10=Calc.Left),Player.Direction,INDEX(CHOOSE(INDEX(MazeDef,$L16,S$11),Primitives!$C$2:$E$4,Primitives!$C$6:$E$8,Primitives!$C$10:$E$12,Primitives!$C$14:$E$16,Primitives!$C$18:$E$20,Primitives!$C$22:$E$24,Primitives!$C$26:$E$28,Primitives!$C$30:$E$32,Primitives!$C$34:$E$36,Primitives!$C$38:$E$40,Primitives!$C$42:$E$44,Primitives!$C$46:$E$48,Primitives!$C$50:$E$52,Primitives!$C$54:$E$56,Primitives!$C$58:$E$60),$N16,S$13))</f>
        <v>1</v>
      </c>
      <c r="T16" s="64">
        <f>IF(AND($K16=Calc.Top, T$10=Calc.Left),Player.Direction,INDEX(CHOOSE(INDEX(MazeDef,$L16,T$11),Primitives!$C$2:$E$4,Primitives!$C$6:$E$8,Primitives!$C$10:$E$12,Primitives!$C$14:$E$16,Primitives!$C$18:$E$20,Primitives!$C$22:$E$24,Primitives!$C$26:$E$28,Primitives!$C$30:$E$32,Primitives!$C$34:$E$36,Primitives!$C$38:$E$40,Primitives!$C$42:$E$44,Primitives!$C$46:$E$48,Primitives!$C$50:$E$52,Primitives!$C$54:$E$56,Primitives!$C$58:$E$60),$N16,T$13))</f>
        <v>1</v>
      </c>
      <c r="U16" s="64">
        <f>IF(AND($K16=Calc.Top, U$10=Calc.Left),Player.Direction,INDEX(CHOOSE(INDEX(MazeDef,$L16,U$11),Primitives!$C$2:$E$4,Primitives!$C$6:$E$8,Primitives!$C$10:$E$12,Primitives!$C$14:$E$16,Primitives!$C$18:$E$20,Primitives!$C$22:$E$24,Primitives!$C$26:$E$28,Primitives!$C$30:$E$32,Primitives!$C$34:$E$36,Primitives!$C$38:$E$40,Primitives!$C$42:$E$44,Primitives!$C$46:$E$48,Primitives!$C$50:$E$52,Primitives!$C$54:$E$56,Primitives!$C$58:$E$60),$N16,U$13))</f>
        <v>1</v>
      </c>
      <c r="V16" s="64">
        <f>IF(AND($K16=Calc.Top, V$10=Calc.Left),Player.Direction,INDEX(CHOOSE(INDEX(MazeDef,$L16,V$11),Primitives!$C$2:$E$4,Primitives!$C$6:$E$8,Primitives!$C$10:$E$12,Primitives!$C$14:$E$16,Primitives!$C$18:$E$20,Primitives!$C$22:$E$24,Primitives!$C$26:$E$28,Primitives!$C$30:$E$32,Primitives!$C$34:$E$36,Primitives!$C$38:$E$40,Primitives!$C$42:$E$44,Primitives!$C$46:$E$48,Primitives!$C$50:$E$52,Primitives!$C$54:$E$56,Primitives!$C$58:$E$60),$N16,V$13))</f>
        <v>1</v>
      </c>
      <c r="W16" s="64">
        <f>IF(AND($K16=Calc.Top, W$10=Calc.Left),Player.Direction,INDEX(CHOOSE(INDEX(MazeDef,$L16,W$11),Primitives!$C$2:$E$4,Primitives!$C$6:$E$8,Primitives!$C$10:$E$12,Primitives!$C$14:$E$16,Primitives!$C$18:$E$20,Primitives!$C$22:$E$24,Primitives!$C$26:$E$28,Primitives!$C$30:$E$32,Primitives!$C$34:$E$36,Primitives!$C$38:$E$40,Primitives!$C$42:$E$44,Primitives!$C$46:$E$48,Primitives!$C$50:$E$52,Primitives!$C$54:$E$56,Primitives!$C$58:$E$60),$N16,W$13))</f>
        <v>1</v>
      </c>
      <c r="X16" s="64">
        <f>IF(AND($K16=Calc.Top, X$10=Calc.Left),Player.Direction,INDEX(CHOOSE(INDEX(MazeDef,$L16,X$11),Primitives!$C$2:$E$4,Primitives!$C$6:$E$8,Primitives!$C$10:$E$12,Primitives!$C$14:$E$16,Primitives!$C$18:$E$20,Primitives!$C$22:$E$24,Primitives!$C$26:$E$28,Primitives!$C$30:$E$32,Primitives!$C$34:$E$36,Primitives!$C$38:$E$40,Primitives!$C$42:$E$44,Primitives!$C$46:$E$48,Primitives!$C$50:$E$52,Primitives!$C$54:$E$56,Primitives!$C$58:$E$60),$N16,X$13))</f>
        <v>1</v>
      </c>
      <c r="Y16" s="64">
        <f>IF(AND($K16=Calc.Top, Y$10=Calc.Left),Player.Direction,INDEX(CHOOSE(INDEX(MazeDef,$L16,Y$11),Primitives!$C$2:$E$4,Primitives!$C$6:$E$8,Primitives!$C$10:$E$12,Primitives!$C$14:$E$16,Primitives!$C$18:$E$20,Primitives!$C$22:$E$24,Primitives!$C$26:$E$28,Primitives!$C$30:$E$32,Primitives!$C$34:$E$36,Primitives!$C$38:$E$40,Primitives!$C$42:$E$44,Primitives!$C$46:$E$48,Primitives!$C$50:$E$52,Primitives!$C$54:$E$56,Primitives!$C$58:$E$60),$N16,Y$13))</f>
        <v>0</v>
      </c>
      <c r="Z16" s="64">
        <f>IF(AND($K16=Calc.Top, Z$10=Calc.Left),Player.Direction,INDEX(CHOOSE(INDEX(MazeDef,$L16,Z$11),Primitives!$C$2:$E$4,Primitives!$C$6:$E$8,Primitives!$C$10:$E$12,Primitives!$C$14:$E$16,Primitives!$C$18:$E$20,Primitives!$C$22:$E$24,Primitives!$C$26:$E$28,Primitives!$C$30:$E$32,Primitives!$C$34:$E$36,Primitives!$C$38:$E$40,Primitives!$C$42:$E$44,Primitives!$C$46:$E$48,Primitives!$C$50:$E$52,Primitives!$C$54:$E$56,Primitives!$C$58:$E$60),$N16,Z$13))</f>
        <v>1</v>
      </c>
      <c r="AA16" s="64">
        <f>IF(AND($K16=Calc.Top, AA$10=Calc.Left),Player.Direction,INDEX(CHOOSE(INDEX(MazeDef,$L16,AA$11),Primitives!$C$2:$E$4,Primitives!$C$6:$E$8,Primitives!$C$10:$E$12,Primitives!$C$14:$E$16,Primitives!$C$18:$E$20,Primitives!$C$22:$E$24,Primitives!$C$26:$E$28,Primitives!$C$30:$E$32,Primitives!$C$34:$E$36,Primitives!$C$38:$E$40,Primitives!$C$42:$E$44,Primitives!$C$46:$E$48,Primitives!$C$50:$E$52,Primitives!$C$54:$E$56,Primitives!$C$58:$E$60),$N16,AA$13))</f>
        <v>1</v>
      </c>
      <c r="AB16" s="64">
        <f>IF(AND($K16=Calc.Top, AB$10=Calc.Left),Player.Direction,INDEX(CHOOSE(INDEX(MazeDef,$L16,AB$11),Primitives!$C$2:$E$4,Primitives!$C$6:$E$8,Primitives!$C$10:$E$12,Primitives!$C$14:$E$16,Primitives!$C$18:$E$20,Primitives!$C$22:$E$24,Primitives!$C$26:$E$28,Primitives!$C$30:$E$32,Primitives!$C$34:$E$36,Primitives!$C$38:$E$40,Primitives!$C$42:$E$44,Primitives!$C$46:$E$48,Primitives!$C$50:$E$52,Primitives!$C$54:$E$56,Primitives!$C$58:$E$60),$N16,AB$13))</f>
        <v>1</v>
      </c>
      <c r="AC16" s="64">
        <f>IF(AND($K16=Calc.Top, AC$10=Calc.Left),Player.Direction,INDEX(CHOOSE(INDEX(MazeDef,$L16,AC$11),Primitives!$C$2:$E$4,Primitives!$C$6:$E$8,Primitives!$C$10:$E$12,Primitives!$C$14:$E$16,Primitives!$C$18:$E$20,Primitives!$C$22:$E$24,Primitives!$C$26:$E$28,Primitives!$C$30:$E$32,Primitives!$C$34:$E$36,Primitives!$C$38:$E$40,Primitives!$C$42:$E$44,Primitives!$C$46:$E$48,Primitives!$C$50:$E$52,Primitives!$C$54:$E$56,Primitives!$C$58:$E$60),$N16,AC$13))</f>
        <v>1</v>
      </c>
      <c r="AD16" s="64">
        <f>IF(AND($K16=Calc.Top, AD$10=Calc.Left),Player.Direction,INDEX(CHOOSE(INDEX(MazeDef,$L16,AD$11),Primitives!$C$2:$E$4,Primitives!$C$6:$E$8,Primitives!$C$10:$E$12,Primitives!$C$14:$E$16,Primitives!$C$18:$E$20,Primitives!$C$22:$E$24,Primitives!$C$26:$E$28,Primitives!$C$30:$E$32,Primitives!$C$34:$E$36,Primitives!$C$38:$E$40,Primitives!$C$42:$E$44,Primitives!$C$46:$E$48,Primitives!$C$50:$E$52,Primitives!$C$54:$E$56,Primitives!$C$58:$E$60),$N16,AD$13))</f>
        <v>1</v>
      </c>
      <c r="AE16" s="64">
        <f>IF(AND($K16=Calc.Top, AE$10=Calc.Left),Player.Direction,INDEX(CHOOSE(INDEX(MazeDef,$L16,AE$11),Primitives!$C$2:$E$4,Primitives!$C$6:$E$8,Primitives!$C$10:$E$12,Primitives!$C$14:$E$16,Primitives!$C$18:$E$20,Primitives!$C$22:$E$24,Primitives!$C$26:$E$28,Primitives!$C$30:$E$32,Primitives!$C$34:$E$36,Primitives!$C$38:$E$40,Primitives!$C$42:$E$44,Primitives!$C$46:$E$48,Primitives!$C$50:$E$52,Primitives!$C$54:$E$56,Primitives!$C$58:$E$60),$N16,AE$13))</f>
        <v>1</v>
      </c>
      <c r="AF16" s="64">
        <f>IF(AND($K16=Calc.Top, AF$10=Calc.Left),Player.Direction,INDEX(CHOOSE(INDEX(MazeDef,$L16,AF$11),Primitives!$C$2:$E$4,Primitives!$C$6:$E$8,Primitives!$C$10:$E$12,Primitives!$C$14:$E$16,Primitives!$C$18:$E$20,Primitives!$C$22:$E$24,Primitives!$C$26:$E$28,Primitives!$C$30:$E$32,Primitives!$C$34:$E$36,Primitives!$C$38:$E$40,Primitives!$C$42:$E$44,Primitives!$C$46:$E$48,Primitives!$C$50:$E$52,Primitives!$C$54:$E$56,Primitives!$C$58:$E$60),$N16,AF$13))</f>
        <v>1</v>
      </c>
      <c r="AG16" s="64">
        <f>IF(AND($K16=Calc.Top, AG$10=Calc.Left),Player.Direction,INDEX(CHOOSE(INDEX(MazeDef,$L16,AG$11),Primitives!$C$2:$E$4,Primitives!$C$6:$E$8,Primitives!$C$10:$E$12,Primitives!$C$14:$E$16,Primitives!$C$18:$E$20,Primitives!$C$22:$E$24,Primitives!$C$26:$E$28,Primitives!$C$30:$E$32,Primitives!$C$34:$E$36,Primitives!$C$38:$E$40,Primitives!$C$42:$E$44,Primitives!$C$46:$E$48,Primitives!$C$50:$E$52,Primitives!$C$54:$E$56,Primitives!$C$58:$E$60),$N16,AG$13))</f>
        <v>1</v>
      </c>
      <c r="AH16" s="64">
        <f>IF(AND($K16=Calc.Top, AH$10=Calc.Left),Player.Direction,INDEX(CHOOSE(INDEX(MazeDef,$L16,AH$11),Primitives!$C$2:$E$4,Primitives!$C$6:$E$8,Primitives!$C$10:$E$12,Primitives!$C$14:$E$16,Primitives!$C$18:$E$20,Primitives!$C$22:$E$24,Primitives!$C$26:$E$28,Primitives!$C$30:$E$32,Primitives!$C$34:$E$36,Primitives!$C$38:$E$40,Primitives!$C$42:$E$44,Primitives!$C$46:$E$48,Primitives!$C$50:$E$52,Primitives!$C$54:$E$56,Primitives!$C$58:$E$60),$N16,AH$13))</f>
        <v>0</v>
      </c>
      <c r="AI16" s="64">
        <f>IF(AND($K16=Calc.Top, AI$10=Calc.Left),Player.Direction,INDEX(CHOOSE(INDEX(MazeDef,$L16,AI$11),Primitives!$C$2:$E$4,Primitives!$C$6:$E$8,Primitives!$C$10:$E$12,Primitives!$C$14:$E$16,Primitives!$C$18:$E$20,Primitives!$C$22:$E$24,Primitives!$C$26:$E$28,Primitives!$C$30:$E$32,Primitives!$C$34:$E$36,Primitives!$C$38:$E$40,Primitives!$C$42:$E$44,Primitives!$C$46:$E$48,Primitives!$C$50:$E$52,Primitives!$C$54:$E$56,Primitives!$C$58:$E$60),$N16,AI$13))</f>
        <v>1</v>
      </c>
      <c r="AJ16" s="64">
        <f>IF(AND($K16=Calc.Top, AJ$10=Calc.Left),Player.Direction,INDEX(CHOOSE(INDEX(MazeDef,$L16,AJ$11),Primitives!$C$2:$E$4,Primitives!$C$6:$E$8,Primitives!$C$10:$E$12,Primitives!$C$14:$E$16,Primitives!$C$18:$E$20,Primitives!$C$22:$E$24,Primitives!$C$26:$E$28,Primitives!$C$30:$E$32,Primitives!$C$34:$E$36,Primitives!$C$38:$E$40,Primitives!$C$42:$E$44,Primitives!$C$46:$E$48,Primitives!$C$50:$E$52,Primitives!$C$54:$E$56,Primitives!$C$58:$E$60),$N16,AJ$13))</f>
        <v>1</v>
      </c>
      <c r="AK16" s="64">
        <f>IF(AND($K16=Calc.Top, AK$10=Calc.Left),Player.Direction,INDEX(CHOOSE(INDEX(MazeDef,$L16,AK$11),Primitives!$C$2:$E$4,Primitives!$C$6:$E$8,Primitives!$C$10:$E$12,Primitives!$C$14:$E$16,Primitives!$C$18:$E$20,Primitives!$C$22:$E$24,Primitives!$C$26:$E$28,Primitives!$C$30:$E$32,Primitives!$C$34:$E$36,Primitives!$C$38:$E$40,Primitives!$C$42:$E$44,Primitives!$C$46:$E$48,Primitives!$C$50:$E$52,Primitives!$C$54:$E$56,Primitives!$C$58:$E$60),$N16,AK$13))</f>
        <v>0</v>
      </c>
      <c r="AL16" s="64">
        <f>IF(AND($K16=Calc.Top, AL$10=Calc.Left),Player.Direction,INDEX(CHOOSE(INDEX(MazeDef,$L16,AL$11),Primitives!$C$2:$E$4,Primitives!$C$6:$E$8,Primitives!$C$10:$E$12,Primitives!$C$14:$E$16,Primitives!$C$18:$E$20,Primitives!$C$22:$E$24,Primitives!$C$26:$E$28,Primitives!$C$30:$E$32,Primitives!$C$34:$E$36,Primitives!$C$38:$E$40,Primitives!$C$42:$E$44,Primitives!$C$46:$E$48,Primitives!$C$50:$E$52,Primitives!$C$54:$E$56,Primitives!$C$58:$E$60),$N16,AL$13))</f>
        <v>1</v>
      </c>
      <c r="AM16" s="64">
        <f>IF(AND($K16=Calc.Top, AM$10=Calc.Left),Player.Direction,INDEX(CHOOSE(INDEX(MazeDef,$L16,AM$11),Primitives!$C$2:$E$4,Primitives!$C$6:$E$8,Primitives!$C$10:$E$12,Primitives!$C$14:$E$16,Primitives!$C$18:$E$20,Primitives!$C$22:$E$24,Primitives!$C$26:$E$28,Primitives!$C$30:$E$32,Primitives!$C$34:$E$36,Primitives!$C$38:$E$40,Primitives!$C$42:$E$44,Primitives!$C$46:$E$48,Primitives!$C$50:$E$52,Primitives!$C$54:$E$56,Primitives!$C$58:$E$60),$N16,AM$13))</f>
        <v>1</v>
      </c>
      <c r="AN16" s="64">
        <f>IF(AND($K16=Calc.Top, AN$10=Calc.Left),Player.Direction,INDEX(CHOOSE(INDEX(MazeDef,$L16,AN$11),Primitives!$C$2:$E$4,Primitives!$C$6:$E$8,Primitives!$C$10:$E$12,Primitives!$C$14:$E$16,Primitives!$C$18:$E$20,Primitives!$C$22:$E$24,Primitives!$C$26:$E$28,Primitives!$C$30:$E$32,Primitives!$C$34:$E$36,Primitives!$C$38:$E$40,Primitives!$C$42:$E$44,Primitives!$C$46:$E$48,Primitives!$C$50:$E$52,Primitives!$C$54:$E$56,Primitives!$C$58:$E$60),$N16,AN$13))</f>
        <v>0</v>
      </c>
      <c r="AO16" s="64">
        <f>IF(AND($K16=Calc.Top, AO$10=Calc.Left),Player.Direction,INDEX(CHOOSE(INDEX(MazeDef,$L16,AO$11),Primitives!$C$2:$E$4,Primitives!$C$6:$E$8,Primitives!$C$10:$E$12,Primitives!$C$14:$E$16,Primitives!$C$18:$E$20,Primitives!$C$22:$E$24,Primitives!$C$26:$E$28,Primitives!$C$30:$E$32,Primitives!$C$34:$E$36,Primitives!$C$38:$E$40,Primitives!$C$42:$E$44,Primitives!$C$46:$E$48,Primitives!$C$50:$E$52,Primitives!$C$54:$E$56,Primitives!$C$58:$E$60),$N16,AO$13))</f>
        <v>1</v>
      </c>
      <c r="AP16" s="64">
        <f>IF(AND($K16=Calc.Top, AP$10=Calc.Left),Player.Direction,INDEX(CHOOSE(INDEX(MazeDef,$L16,AP$11),Primitives!$C$2:$E$4,Primitives!$C$6:$E$8,Primitives!$C$10:$E$12,Primitives!$C$14:$E$16,Primitives!$C$18:$E$20,Primitives!$C$22:$E$24,Primitives!$C$26:$E$28,Primitives!$C$30:$E$32,Primitives!$C$34:$E$36,Primitives!$C$38:$E$40,Primitives!$C$42:$E$44,Primitives!$C$46:$E$48,Primitives!$C$50:$E$52,Primitives!$C$54:$E$56,Primitives!$C$58:$E$60),$N16,AP$13))</f>
        <v>1</v>
      </c>
      <c r="AQ16" s="64">
        <f>IF(AND($K16=Calc.Top, AQ$10=Calc.Left),Player.Direction,INDEX(CHOOSE(INDEX(MazeDef,$L16,AQ$11),Primitives!$C$2:$E$4,Primitives!$C$6:$E$8,Primitives!$C$10:$E$12,Primitives!$C$14:$E$16,Primitives!$C$18:$E$20,Primitives!$C$22:$E$24,Primitives!$C$26:$E$28,Primitives!$C$30:$E$32,Primitives!$C$34:$E$36,Primitives!$C$38:$E$40,Primitives!$C$42:$E$44,Primitives!$C$46:$E$48,Primitives!$C$50:$E$52,Primitives!$C$54:$E$56,Primitives!$C$58:$E$60),$N16,AQ$13))</f>
        <v>0</v>
      </c>
      <c r="AR16" s="64">
        <f>IF(AND($K16=Calc.Top, AR$10=Calc.Left),Player.Direction,INDEX(CHOOSE(INDEX(MazeDef,$L16,AR$11),Primitives!$C$2:$E$4,Primitives!$C$6:$E$8,Primitives!$C$10:$E$12,Primitives!$C$14:$E$16,Primitives!$C$18:$E$20,Primitives!$C$22:$E$24,Primitives!$C$26:$E$28,Primitives!$C$30:$E$32,Primitives!$C$34:$E$36,Primitives!$C$38:$E$40,Primitives!$C$42:$E$44,Primitives!$C$46:$E$48,Primitives!$C$50:$E$52,Primitives!$C$54:$E$56,Primitives!$C$58:$E$60),$N16,AR$13))</f>
        <v>1</v>
      </c>
      <c r="AS16" s="2"/>
      <c r="AT16" s="2"/>
      <c r="AU16" s="2"/>
      <c r="AV16" s="2"/>
    </row>
    <row r="17" spans="1:48" ht="9" customHeight="1" x14ac:dyDescent="0.25">
      <c r="A17" s="5"/>
      <c r="B17" s="21"/>
      <c r="C17" s="21"/>
      <c r="D17" s="21"/>
      <c r="E17" s="2"/>
      <c r="F17" s="2"/>
      <c r="G17" s="2"/>
      <c r="H17" s="2"/>
      <c r="I17" s="2"/>
      <c r="J17" s="2"/>
      <c r="K17" s="2">
        <v>4</v>
      </c>
      <c r="L17" s="2">
        <v>2</v>
      </c>
      <c r="M17" s="67">
        <v>2</v>
      </c>
      <c r="N17" s="7">
        <v>1</v>
      </c>
      <c r="O17" s="64">
        <f>IF(AND($K17=Calc.Top, O$10=Calc.Left),Player.Direction,INDEX(CHOOSE(INDEX(MazeDef,$L17,O$11),Primitives!$C$2:$E$4,Primitives!$C$6:$E$8,Primitives!$C$10:$E$12,Primitives!$C$14:$E$16,Primitives!$C$18:$E$20,Primitives!$C$22:$E$24,Primitives!$C$26:$E$28,Primitives!$C$30:$E$32,Primitives!$C$34:$E$36,Primitives!$C$38:$E$40,Primitives!$C$42:$E$44,Primitives!$C$46:$E$48,Primitives!$C$50:$E$52,Primitives!$C$54:$E$56,Primitives!$C$58:$E$60),$N17,O$13))</f>
        <v>1</v>
      </c>
      <c r="P17" s="64">
        <f>IF(AND($K17=Calc.Top, P$10=Calc.Left),Player.Direction,INDEX(CHOOSE(INDEX(MazeDef,$L17,P$11),Primitives!$C$2:$E$4,Primitives!$C$6:$E$8,Primitives!$C$10:$E$12,Primitives!$C$14:$E$16,Primitives!$C$18:$E$20,Primitives!$C$22:$E$24,Primitives!$C$26:$E$28,Primitives!$C$30:$E$32,Primitives!$C$34:$E$36,Primitives!$C$38:$E$40,Primitives!$C$42:$E$44,Primitives!$C$46:$E$48,Primitives!$C$50:$E$52,Primitives!$C$54:$E$56,Primitives!$C$58:$E$60),$N17,P$13))</f>
        <v>1</v>
      </c>
      <c r="Q17" s="64">
        <f>IF(AND($K17=Calc.Top, Q$10=Calc.Left),Player.Direction,INDEX(CHOOSE(INDEX(MazeDef,$L17,Q$11),Primitives!$C$2:$E$4,Primitives!$C$6:$E$8,Primitives!$C$10:$E$12,Primitives!$C$14:$E$16,Primitives!$C$18:$E$20,Primitives!$C$22:$E$24,Primitives!$C$26:$E$28,Primitives!$C$30:$E$32,Primitives!$C$34:$E$36,Primitives!$C$38:$E$40,Primitives!$C$42:$E$44,Primitives!$C$46:$E$48,Primitives!$C$50:$E$52,Primitives!$C$54:$E$56,Primitives!$C$58:$E$60),$N17,Q$13))</f>
        <v>1</v>
      </c>
      <c r="R17" s="64">
        <f>IF(AND($K17=Calc.Top, R$10=Calc.Left),Player.Direction,INDEX(CHOOSE(INDEX(MazeDef,$L17,R$11),Primitives!$C$2:$E$4,Primitives!$C$6:$E$8,Primitives!$C$10:$E$12,Primitives!$C$14:$E$16,Primitives!$C$18:$E$20,Primitives!$C$22:$E$24,Primitives!$C$26:$E$28,Primitives!$C$30:$E$32,Primitives!$C$34:$E$36,Primitives!$C$38:$E$40,Primitives!$C$42:$E$44,Primitives!$C$46:$E$48,Primitives!$C$50:$E$52,Primitives!$C$54:$E$56,Primitives!$C$58:$E$60),$N17,R$13))</f>
        <v>1</v>
      </c>
      <c r="S17" s="64">
        <f>IF(AND($K17=Calc.Top, S$10=Calc.Left),Player.Direction,INDEX(CHOOSE(INDEX(MazeDef,$L17,S$11),Primitives!$C$2:$E$4,Primitives!$C$6:$E$8,Primitives!$C$10:$E$12,Primitives!$C$14:$E$16,Primitives!$C$18:$E$20,Primitives!$C$22:$E$24,Primitives!$C$26:$E$28,Primitives!$C$30:$E$32,Primitives!$C$34:$E$36,Primitives!$C$38:$E$40,Primitives!$C$42:$E$44,Primitives!$C$46:$E$48,Primitives!$C$50:$E$52,Primitives!$C$54:$E$56,Primitives!$C$58:$E$60),$N17,S$13))</f>
        <v>1</v>
      </c>
      <c r="T17" s="64">
        <f>IF(AND($K17=Calc.Top, T$10=Calc.Left),Player.Direction,INDEX(CHOOSE(INDEX(MazeDef,$L17,T$11),Primitives!$C$2:$E$4,Primitives!$C$6:$E$8,Primitives!$C$10:$E$12,Primitives!$C$14:$E$16,Primitives!$C$18:$E$20,Primitives!$C$22:$E$24,Primitives!$C$26:$E$28,Primitives!$C$30:$E$32,Primitives!$C$34:$E$36,Primitives!$C$38:$E$40,Primitives!$C$42:$E$44,Primitives!$C$46:$E$48,Primitives!$C$50:$E$52,Primitives!$C$54:$E$56,Primitives!$C$58:$E$60),$N17,T$13))</f>
        <v>1</v>
      </c>
      <c r="U17" s="64">
        <f>IF(AND($K17=Calc.Top, U$10=Calc.Left),Player.Direction,INDEX(CHOOSE(INDEX(MazeDef,$L17,U$11),Primitives!$C$2:$E$4,Primitives!$C$6:$E$8,Primitives!$C$10:$E$12,Primitives!$C$14:$E$16,Primitives!$C$18:$E$20,Primitives!$C$22:$E$24,Primitives!$C$26:$E$28,Primitives!$C$30:$E$32,Primitives!$C$34:$E$36,Primitives!$C$38:$E$40,Primitives!$C$42:$E$44,Primitives!$C$46:$E$48,Primitives!$C$50:$E$52,Primitives!$C$54:$E$56,Primitives!$C$58:$E$60),$N17,U$13))</f>
        <v>1</v>
      </c>
      <c r="V17" s="64">
        <f>IF(AND($K17=Calc.Top, V$10=Calc.Left),Player.Direction,INDEX(CHOOSE(INDEX(MazeDef,$L17,V$11),Primitives!$C$2:$E$4,Primitives!$C$6:$E$8,Primitives!$C$10:$E$12,Primitives!$C$14:$E$16,Primitives!$C$18:$E$20,Primitives!$C$22:$E$24,Primitives!$C$26:$E$28,Primitives!$C$30:$E$32,Primitives!$C$34:$E$36,Primitives!$C$38:$E$40,Primitives!$C$42:$E$44,Primitives!$C$46:$E$48,Primitives!$C$50:$E$52,Primitives!$C$54:$E$56,Primitives!$C$58:$E$60),$N17,V$13))</f>
        <v>1</v>
      </c>
      <c r="W17" s="64">
        <f>IF(AND($K17=Calc.Top, W$10=Calc.Left),Player.Direction,INDEX(CHOOSE(INDEX(MazeDef,$L17,W$11),Primitives!$C$2:$E$4,Primitives!$C$6:$E$8,Primitives!$C$10:$E$12,Primitives!$C$14:$E$16,Primitives!$C$18:$E$20,Primitives!$C$22:$E$24,Primitives!$C$26:$E$28,Primitives!$C$30:$E$32,Primitives!$C$34:$E$36,Primitives!$C$38:$E$40,Primitives!$C$42:$E$44,Primitives!$C$46:$E$48,Primitives!$C$50:$E$52,Primitives!$C$54:$E$56,Primitives!$C$58:$E$60),$N17,W$13))</f>
        <v>1</v>
      </c>
      <c r="X17" s="64">
        <f>IF(AND($K17=Calc.Top, X$10=Calc.Left),Player.Direction,INDEX(CHOOSE(INDEX(MazeDef,$L17,X$11),Primitives!$C$2:$E$4,Primitives!$C$6:$E$8,Primitives!$C$10:$E$12,Primitives!$C$14:$E$16,Primitives!$C$18:$E$20,Primitives!$C$22:$E$24,Primitives!$C$26:$E$28,Primitives!$C$30:$E$32,Primitives!$C$34:$E$36,Primitives!$C$38:$E$40,Primitives!$C$42:$E$44,Primitives!$C$46:$E$48,Primitives!$C$50:$E$52,Primitives!$C$54:$E$56,Primitives!$C$58:$E$60),$N17,X$13))</f>
        <v>1</v>
      </c>
      <c r="Y17" s="64">
        <f>IF(AND($K17=Calc.Top, Y$10=Calc.Left),Player.Direction,INDEX(CHOOSE(INDEX(MazeDef,$L17,Y$11),Primitives!$C$2:$E$4,Primitives!$C$6:$E$8,Primitives!$C$10:$E$12,Primitives!$C$14:$E$16,Primitives!$C$18:$E$20,Primitives!$C$22:$E$24,Primitives!$C$26:$E$28,Primitives!$C$30:$E$32,Primitives!$C$34:$E$36,Primitives!$C$38:$E$40,Primitives!$C$42:$E$44,Primitives!$C$46:$E$48,Primitives!$C$50:$E$52,Primitives!$C$54:$E$56,Primitives!$C$58:$E$60),$N17,Y$13))</f>
        <v>0</v>
      </c>
      <c r="Z17" s="64">
        <f>IF(AND($K17=Calc.Top, Z$10=Calc.Left),Player.Direction,INDEX(CHOOSE(INDEX(MazeDef,$L17,Z$11),Primitives!$C$2:$E$4,Primitives!$C$6:$E$8,Primitives!$C$10:$E$12,Primitives!$C$14:$E$16,Primitives!$C$18:$E$20,Primitives!$C$22:$E$24,Primitives!$C$26:$E$28,Primitives!$C$30:$E$32,Primitives!$C$34:$E$36,Primitives!$C$38:$E$40,Primitives!$C$42:$E$44,Primitives!$C$46:$E$48,Primitives!$C$50:$E$52,Primitives!$C$54:$E$56,Primitives!$C$58:$E$60),$N17,Z$13))</f>
        <v>1</v>
      </c>
      <c r="AA17" s="64">
        <f>IF(AND($K17=Calc.Top, AA$10=Calc.Left),Player.Direction,INDEX(CHOOSE(INDEX(MazeDef,$L17,AA$11),Primitives!$C$2:$E$4,Primitives!$C$6:$E$8,Primitives!$C$10:$E$12,Primitives!$C$14:$E$16,Primitives!$C$18:$E$20,Primitives!$C$22:$E$24,Primitives!$C$26:$E$28,Primitives!$C$30:$E$32,Primitives!$C$34:$E$36,Primitives!$C$38:$E$40,Primitives!$C$42:$E$44,Primitives!$C$46:$E$48,Primitives!$C$50:$E$52,Primitives!$C$54:$E$56,Primitives!$C$58:$E$60),$N17,AA$13))</f>
        <v>1</v>
      </c>
      <c r="AB17" s="64">
        <f>IF(AND($K17=Calc.Top, AB$10=Calc.Left),Player.Direction,INDEX(CHOOSE(INDEX(MazeDef,$L17,AB$11),Primitives!$C$2:$E$4,Primitives!$C$6:$E$8,Primitives!$C$10:$E$12,Primitives!$C$14:$E$16,Primitives!$C$18:$E$20,Primitives!$C$22:$E$24,Primitives!$C$26:$E$28,Primitives!$C$30:$E$32,Primitives!$C$34:$E$36,Primitives!$C$38:$E$40,Primitives!$C$42:$E$44,Primitives!$C$46:$E$48,Primitives!$C$50:$E$52,Primitives!$C$54:$E$56,Primitives!$C$58:$E$60),$N17,AB$13))</f>
        <v>1</v>
      </c>
      <c r="AC17" s="64">
        <f>IF(AND($K17=Calc.Top, AC$10=Calc.Left),Player.Direction,INDEX(CHOOSE(INDEX(MazeDef,$L17,AC$11),Primitives!$C$2:$E$4,Primitives!$C$6:$E$8,Primitives!$C$10:$E$12,Primitives!$C$14:$E$16,Primitives!$C$18:$E$20,Primitives!$C$22:$E$24,Primitives!$C$26:$E$28,Primitives!$C$30:$E$32,Primitives!$C$34:$E$36,Primitives!$C$38:$E$40,Primitives!$C$42:$E$44,Primitives!$C$46:$E$48,Primitives!$C$50:$E$52,Primitives!$C$54:$E$56,Primitives!$C$58:$E$60),$N17,AC$13))</f>
        <v>1</v>
      </c>
      <c r="AD17" s="64">
        <f>IF(AND($K17=Calc.Top, AD$10=Calc.Left),Player.Direction,INDEX(CHOOSE(INDEX(MazeDef,$L17,AD$11),Primitives!$C$2:$E$4,Primitives!$C$6:$E$8,Primitives!$C$10:$E$12,Primitives!$C$14:$E$16,Primitives!$C$18:$E$20,Primitives!$C$22:$E$24,Primitives!$C$26:$E$28,Primitives!$C$30:$E$32,Primitives!$C$34:$E$36,Primitives!$C$38:$E$40,Primitives!$C$42:$E$44,Primitives!$C$46:$E$48,Primitives!$C$50:$E$52,Primitives!$C$54:$E$56,Primitives!$C$58:$E$60),$N17,AD$13))</f>
        <v>1</v>
      </c>
      <c r="AE17" s="64">
        <f>IF(AND($K17=Calc.Top, AE$10=Calc.Left),Player.Direction,INDEX(CHOOSE(INDEX(MazeDef,$L17,AE$11),Primitives!$C$2:$E$4,Primitives!$C$6:$E$8,Primitives!$C$10:$E$12,Primitives!$C$14:$E$16,Primitives!$C$18:$E$20,Primitives!$C$22:$E$24,Primitives!$C$26:$E$28,Primitives!$C$30:$E$32,Primitives!$C$34:$E$36,Primitives!$C$38:$E$40,Primitives!$C$42:$E$44,Primitives!$C$46:$E$48,Primitives!$C$50:$E$52,Primitives!$C$54:$E$56,Primitives!$C$58:$E$60),$N17,AE$13))</f>
        <v>1</v>
      </c>
      <c r="AF17" s="64">
        <f>IF(AND($K17=Calc.Top, AF$10=Calc.Left),Player.Direction,INDEX(CHOOSE(INDEX(MazeDef,$L17,AF$11),Primitives!$C$2:$E$4,Primitives!$C$6:$E$8,Primitives!$C$10:$E$12,Primitives!$C$14:$E$16,Primitives!$C$18:$E$20,Primitives!$C$22:$E$24,Primitives!$C$26:$E$28,Primitives!$C$30:$E$32,Primitives!$C$34:$E$36,Primitives!$C$38:$E$40,Primitives!$C$42:$E$44,Primitives!$C$46:$E$48,Primitives!$C$50:$E$52,Primitives!$C$54:$E$56,Primitives!$C$58:$E$60),$N17,AF$13))</f>
        <v>1</v>
      </c>
      <c r="AG17" s="64">
        <f>IF(AND($K17=Calc.Top, AG$10=Calc.Left),Player.Direction,INDEX(CHOOSE(INDEX(MazeDef,$L17,AG$11),Primitives!$C$2:$E$4,Primitives!$C$6:$E$8,Primitives!$C$10:$E$12,Primitives!$C$14:$E$16,Primitives!$C$18:$E$20,Primitives!$C$22:$E$24,Primitives!$C$26:$E$28,Primitives!$C$30:$E$32,Primitives!$C$34:$E$36,Primitives!$C$38:$E$40,Primitives!$C$42:$E$44,Primitives!$C$46:$E$48,Primitives!$C$50:$E$52,Primitives!$C$54:$E$56,Primitives!$C$58:$E$60),$N17,AG$13))</f>
        <v>1</v>
      </c>
      <c r="AH17" s="64">
        <f>IF(AND($K17=Calc.Top, AH$10=Calc.Left),Player.Direction,INDEX(CHOOSE(INDEX(MazeDef,$L17,AH$11),Primitives!$C$2:$E$4,Primitives!$C$6:$E$8,Primitives!$C$10:$E$12,Primitives!$C$14:$E$16,Primitives!$C$18:$E$20,Primitives!$C$22:$E$24,Primitives!$C$26:$E$28,Primitives!$C$30:$E$32,Primitives!$C$34:$E$36,Primitives!$C$38:$E$40,Primitives!$C$42:$E$44,Primitives!$C$46:$E$48,Primitives!$C$50:$E$52,Primitives!$C$54:$E$56,Primitives!$C$58:$E$60),$N17,AH$13))</f>
        <v>0</v>
      </c>
      <c r="AI17" s="64">
        <f>IF(AND($K17=Calc.Top, AI$10=Calc.Left),Player.Direction,INDEX(CHOOSE(INDEX(MazeDef,$L17,AI$11),Primitives!$C$2:$E$4,Primitives!$C$6:$E$8,Primitives!$C$10:$E$12,Primitives!$C$14:$E$16,Primitives!$C$18:$E$20,Primitives!$C$22:$E$24,Primitives!$C$26:$E$28,Primitives!$C$30:$E$32,Primitives!$C$34:$E$36,Primitives!$C$38:$E$40,Primitives!$C$42:$E$44,Primitives!$C$46:$E$48,Primitives!$C$50:$E$52,Primitives!$C$54:$E$56,Primitives!$C$58:$E$60),$N17,AI$13))</f>
        <v>1</v>
      </c>
      <c r="AJ17" s="64">
        <f>IF(AND($K17=Calc.Top, AJ$10=Calc.Left),Player.Direction,INDEX(CHOOSE(INDEX(MazeDef,$L17,AJ$11),Primitives!$C$2:$E$4,Primitives!$C$6:$E$8,Primitives!$C$10:$E$12,Primitives!$C$14:$E$16,Primitives!$C$18:$E$20,Primitives!$C$22:$E$24,Primitives!$C$26:$E$28,Primitives!$C$30:$E$32,Primitives!$C$34:$E$36,Primitives!$C$38:$E$40,Primitives!$C$42:$E$44,Primitives!$C$46:$E$48,Primitives!$C$50:$E$52,Primitives!$C$54:$E$56,Primitives!$C$58:$E$60),$N17,AJ$13))</f>
        <v>1</v>
      </c>
      <c r="AK17" s="64">
        <f>IF(AND($K17=Calc.Top, AK$10=Calc.Left),Player.Direction,INDEX(CHOOSE(INDEX(MazeDef,$L17,AK$11),Primitives!$C$2:$E$4,Primitives!$C$6:$E$8,Primitives!$C$10:$E$12,Primitives!$C$14:$E$16,Primitives!$C$18:$E$20,Primitives!$C$22:$E$24,Primitives!$C$26:$E$28,Primitives!$C$30:$E$32,Primitives!$C$34:$E$36,Primitives!$C$38:$E$40,Primitives!$C$42:$E$44,Primitives!$C$46:$E$48,Primitives!$C$50:$E$52,Primitives!$C$54:$E$56,Primitives!$C$58:$E$60),$N17,AK$13))</f>
        <v>0</v>
      </c>
      <c r="AL17" s="64">
        <f>IF(AND($K17=Calc.Top, AL$10=Calc.Left),Player.Direction,INDEX(CHOOSE(INDEX(MazeDef,$L17,AL$11),Primitives!$C$2:$E$4,Primitives!$C$6:$E$8,Primitives!$C$10:$E$12,Primitives!$C$14:$E$16,Primitives!$C$18:$E$20,Primitives!$C$22:$E$24,Primitives!$C$26:$E$28,Primitives!$C$30:$E$32,Primitives!$C$34:$E$36,Primitives!$C$38:$E$40,Primitives!$C$42:$E$44,Primitives!$C$46:$E$48,Primitives!$C$50:$E$52,Primitives!$C$54:$E$56,Primitives!$C$58:$E$60),$N17,AL$13))</f>
        <v>1</v>
      </c>
      <c r="AM17" s="64">
        <f>IF(AND($K17=Calc.Top, AM$10=Calc.Left),Player.Direction,INDEX(CHOOSE(INDEX(MazeDef,$L17,AM$11),Primitives!$C$2:$E$4,Primitives!$C$6:$E$8,Primitives!$C$10:$E$12,Primitives!$C$14:$E$16,Primitives!$C$18:$E$20,Primitives!$C$22:$E$24,Primitives!$C$26:$E$28,Primitives!$C$30:$E$32,Primitives!$C$34:$E$36,Primitives!$C$38:$E$40,Primitives!$C$42:$E$44,Primitives!$C$46:$E$48,Primitives!$C$50:$E$52,Primitives!$C$54:$E$56,Primitives!$C$58:$E$60),$N17,AM$13))</f>
        <v>1</v>
      </c>
      <c r="AN17" s="64">
        <f>IF(AND($K17=Calc.Top, AN$10=Calc.Left),Player.Direction,INDEX(CHOOSE(INDEX(MazeDef,$L17,AN$11),Primitives!$C$2:$E$4,Primitives!$C$6:$E$8,Primitives!$C$10:$E$12,Primitives!$C$14:$E$16,Primitives!$C$18:$E$20,Primitives!$C$22:$E$24,Primitives!$C$26:$E$28,Primitives!$C$30:$E$32,Primitives!$C$34:$E$36,Primitives!$C$38:$E$40,Primitives!$C$42:$E$44,Primitives!$C$46:$E$48,Primitives!$C$50:$E$52,Primitives!$C$54:$E$56,Primitives!$C$58:$E$60),$N17,AN$13))</f>
        <v>0</v>
      </c>
      <c r="AO17" s="64">
        <f>IF(AND($K17=Calc.Top, AO$10=Calc.Left),Player.Direction,INDEX(CHOOSE(INDEX(MazeDef,$L17,AO$11),Primitives!$C$2:$E$4,Primitives!$C$6:$E$8,Primitives!$C$10:$E$12,Primitives!$C$14:$E$16,Primitives!$C$18:$E$20,Primitives!$C$22:$E$24,Primitives!$C$26:$E$28,Primitives!$C$30:$E$32,Primitives!$C$34:$E$36,Primitives!$C$38:$E$40,Primitives!$C$42:$E$44,Primitives!$C$46:$E$48,Primitives!$C$50:$E$52,Primitives!$C$54:$E$56,Primitives!$C$58:$E$60),$N17,AO$13))</f>
        <v>1</v>
      </c>
      <c r="AP17" s="64">
        <f>IF(AND($K17=Calc.Top, AP$10=Calc.Left),Player.Direction,INDEX(CHOOSE(INDEX(MazeDef,$L17,AP$11),Primitives!$C$2:$E$4,Primitives!$C$6:$E$8,Primitives!$C$10:$E$12,Primitives!$C$14:$E$16,Primitives!$C$18:$E$20,Primitives!$C$22:$E$24,Primitives!$C$26:$E$28,Primitives!$C$30:$E$32,Primitives!$C$34:$E$36,Primitives!$C$38:$E$40,Primitives!$C$42:$E$44,Primitives!$C$46:$E$48,Primitives!$C$50:$E$52,Primitives!$C$54:$E$56,Primitives!$C$58:$E$60),$N17,AP$13))</f>
        <v>1</v>
      </c>
      <c r="AQ17" s="64">
        <f>IF(AND($K17=Calc.Top, AQ$10=Calc.Left),Player.Direction,INDEX(CHOOSE(INDEX(MazeDef,$L17,AQ$11),Primitives!$C$2:$E$4,Primitives!$C$6:$E$8,Primitives!$C$10:$E$12,Primitives!$C$14:$E$16,Primitives!$C$18:$E$20,Primitives!$C$22:$E$24,Primitives!$C$26:$E$28,Primitives!$C$30:$E$32,Primitives!$C$34:$E$36,Primitives!$C$38:$E$40,Primitives!$C$42:$E$44,Primitives!$C$46:$E$48,Primitives!$C$50:$E$52,Primitives!$C$54:$E$56,Primitives!$C$58:$E$60),$N17,AQ$13))</f>
        <v>0</v>
      </c>
      <c r="AR17" s="64">
        <f>IF(AND($K17=Calc.Top, AR$10=Calc.Left),Player.Direction,INDEX(CHOOSE(INDEX(MazeDef,$L17,AR$11),Primitives!$C$2:$E$4,Primitives!$C$6:$E$8,Primitives!$C$10:$E$12,Primitives!$C$14:$E$16,Primitives!$C$18:$E$20,Primitives!$C$22:$E$24,Primitives!$C$26:$E$28,Primitives!$C$30:$E$32,Primitives!$C$34:$E$36,Primitives!$C$38:$E$40,Primitives!$C$42:$E$44,Primitives!$C$46:$E$48,Primitives!$C$50:$E$52,Primitives!$C$54:$E$56,Primitives!$C$58:$E$60),$N17,AR$13))</f>
        <v>1</v>
      </c>
      <c r="AS17" s="2"/>
      <c r="AT17" s="2"/>
      <c r="AU17" s="2"/>
      <c r="AV17" s="2"/>
    </row>
    <row r="18" spans="1:48" ht="9" customHeight="1" x14ac:dyDescent="0.25">
      <c r="A18" s="5"/>
      <c r="B18" s="21">
        <v>1</v>
      </c>
      <c r="C18" s="21">
        <v>1</v>
      </c>
      <c r="D18" s="21">
        <v>1</v>
      </c>
      <c r="E18" s="2"/>
      <c r="F18" s="2"/>
      <c r="G18" s="2"/>
      <c r="H18" s="2"/>
      <c r="I18" s="2"/>
      <c r="J18" s="2"/>
      <c r="K18" s="2">
        <v>5</v>
      </c>
      <c r="L18" s="2">
        <v>2</v>
      </c>
      <c r="M18" s="68"/>
      <c r="N18" s="8">
        <v>2</v>
      </c>
      <c r="O18" s="64">
        <f>IF(AND($K18=Calc.Top, O$10=Calc.Left),Player.Direction,INDEX(CHOOSE(INDEX(MazeDef,$L18,O$11),Primitives!$C$2:$E$4,Primitives!$C$6:$E$8,Primitives!$C$10:$E$12,Primitives!$C$14:$E$16,Primitives!$C$18:$E$20,Primitives!$C$22:$E$24,Primitives!$C$26:$E$28,Primitives!$C$30:$E$32,Primitives!$C$34:$E$36,Primitives!$C$38:$E$40,Primitives!$C$42:$E$44,Primitives!$C$46:$E$48,Primitives!$C$50:$E$52,Primitives!$C$54:$E$56,Primitives!$C$58:$E$60),$N18,O$13))</f>
        <v>1</v>
      </c>
      <c r="P18" s="64">
        <f>IF(AND($K18=Calc.Top, P$10=Calc.Left),Player.Direction,INDEX(CHOOSE(INDEX(MazeDef,$L18,P$11),Primitives!$C$2:$E$4,Primitives!$C$6:$E$8,Primitives!$C$10:$E$12,Primitives!$C$14:$E$16,Primitives!$C$18:$E$20,Primitives!$C$22:$E$24,Primitives!$C$26:$E$28,Primitives!$C$30:$E$32,Primitives!$C$34:$E$36,Primitives!$C$38:$E$40,Primitives!$C$42:$E$44,Primitives!$C$46:$E$48,Primitives!$C$50:$E$52,Primitives!$C$54:$E$56,Primitives!$C$58:$E$60),$N18,P$13))</f>
        <v>0</v>
      </c>
      <c r="Q18" s="64">
        <f>IF(AND($K18=Calc.Top, Q$10=Calc.Left),Player.Direction,INDEX(CHOOSE(INDEX(MazeDef,$L18,Q$11),Primitives!$C$2:$E$4,Primitives!$C$6:$E$8,Primitives!$C$10:$E$12,Primitives!$C$14:$E$16,Primitives!$C$18:$E$20,Primitives!$C$22:$E$24,Primitives!$C$26:$E$28,Primitives!$C$30:$E$32,Primitives!$C$34:$E$36,Primitives!$C$38:$E$40,Primitives!$C$42:$E$44,Primitives!$C$46:$E$48,Primitives!$C$50:$E$52,Primitives!$C$54:$E$56,Primitives!$C$58:$E$60),$N18,Q$13))</f>
        <v>0</v>
      </c>
      <c r="R18" s="64">
        <f>IF(AND($K18=Calc.Top, R$10=Calc.Left),Player.Direction,INDEX(CHOOSE(INDEX(MazeDef,$L18,R$11),Primitives!$C$2:$E$4,Primitives!$C$6:$E$8,Primitives!$C$10:$E$12,Primitives!$C$14:$E$16,Primitives!$C$18:$E$20,Primitives!$C$22:$E$24,Primitives!$C$26:$E$28,Primitives!$C$30:$E$32,Primitives!$C$34:$E$36,Primitives!$C$38:$E$40,Primitives!$C$42:$E$44,Primitives!$C$46:$E$48,Primitives!$C$50:$E$52,Primitives!$C$54:$E$56,Primitives!$C$58:$E$60),$N18,R$13))</f>
        <v>0</v>
      </c>
      <c r="S18" s="64">
        <f>IF(AND($K18=Calc.Top, S$10=Calc.Left),Player.Direction,INDEX(CHOOSE(INDEX(MazeDef,$L18,S$11),Primitives!$C$2:$E$4,Primitives!$C$6:$E$8,Primitives!$C$10:$E$12,Primitives!$C$14:$E$16,Primitives!$C$18:$E$20,Primitives!$C$22:$E$24,Primitives!$C$26:$E$28,Primitives!$C$30:$E$32,Primitives!$C$34:$E$36,Primitives!$C$38:$E$40,Primitives!$C$42:$E$44,Primitives!$C$46:$E$48,Primitives!$C$50:$E$52,Primitives!$C$54:$E$56,Primitives!$C$58:$E$60),$N18,S$13))</f>
        <v>0</v>
      </c>
      <c r="T18" s="64">
        <f>IF(AND($K18=Calc.Top, T$10=Calc.Left),Player.Direction,INDEX(CHOOSE(INDEX(MazeDef,$L18,T$11),Primitives!$C$2:$E$4,Primitives!$C$6:$E$8,Primitives!$C$10:$E$12,Primitives!$C$14:$E$16,Primitives!$C$18:$E$20,Primitives!$C$22:$E$24,Primitives!$C$26:$E$28,Primitives!$C$30:$E$32,Primitives!$C$34:$E$36,Primitives!$C$38:$E$40,Primitives!$C$42:$E$44,Primitives!$C$46:$E$48,Primitives!$C$50:$E$52,Primitives!$C$54:$E$56,Primitives!$C$58:$E$60),$N18,T$13))</f>
        <v>0</v>
      </c>
      <c r="U18" s="64">
        <f>IF(AND($K18=Calc.Top, U$10=Calc.Left),Player.Direction,INDEX(CHOOSE(INDEX(MazeDef,$L18,U$11),Primitives!$C$2:$E$4,Primitives!$C$6:$E$8,Primitives!$C$10:$E$12,Primitives!$C$14:$E$16,Primitives!$C$18:$E$20,Primitives!$C$22:$E$24,Primitives!$C$26:$E$28,Primitives!$C$30:$E$32,Primitives!$C$34:$E$36,Primitives!$C$38:$E$40,Primitives!$C$42:$E$44,Primitives!$C$46:$E$48,Primitives!$C$50:$E$52,Primitives!$C$54:$E$56,Primitives!$C$58:$E$60),$N18,U$13))</f>
        <v>0</v>
      </c>
      <c r="V18" s="64">
        <f>IF(AND($K18=Calc.Top, V$10=Calc.Left),Player.Direction,INDEX(CHOOSE(INDEX(MazeDef,$L18,V$11),Primitives!$C$2:$E$4,Primitives!$C$6:$E$8,Primitives!$C$10:$E$12,Primitives!$C$14:$E$16,Primitives!$C$18:$E$20,Primitives!$C$22:$E$24,Primitives!$C$26:$E$28,Primitives!$C$30:$E$32,Primitives!$C$34:$E$36,Primitives!$C$38:$E$40,Primitives!$C$42:$E$44,Primitives!$C$46:$E$48,Primitives!$C$50:$E$52,Primitives!$C$54:$E$56,Primitives!$C$58:$E$60),$N18,V$13))</f>
        <v>0</v>
      </c>
      <c r="W18" s="64">
        <f>IF(AND($K18=Calc.Top, W$10=Calc.Left),Player.Direction,INDEX(CHOOSE(INDEX(MazeDef,$L18,W$11),Primitives!$C$2:$E$4,Primitives!$C$6:$E$8,Primitives!$C$10:$E$12,Primitives!$C$14:$E$16,Primitives!$C$18:$E$20,Primitives!$C$22:$E$24,Primitives!$C$26:$E$28,Primitives!$C$30:$E$32,Primitives!$C$34:$E$36,Primitives!$C$38:$E$40,Primitives!$C$42:$E$44,Primitives!$C$46:$E$48,Primitives!$C$50:$E$52,Primitives!$C$54:$E$56,Primitives!$C$58:$E$60),$N18,W$13))</f>
        <v>0</v>
      </c>
      <c r="X18" s="64">
        <f>IF(AND($K18=Calc.Top, X$10=Calc.Left),Player.Direction,INDEX(CHOOSE(INDEX(MazeDef,$L18,X$11),Primitives!$C$2:$E$4,Primitives!$C$6:$E$8,Primitives!$C$10:$E$12,Primitives!$C$14:$E$16,Primitives!$C$18:$E$20,Primitives!$C$22:$E$24,Primitives!$C$26:$E$28,Primitives!$C$30:$E$32,Primitives!$C$34:$E$36,Primitives!$C$38:$E$40,Primitives!$C$42:$E$44,Primitives!$C$46:$E$48,Primitives!$C$50:$E$52,Primitives!$C$54:$E$56,Primitives!$C$58:$E$60),$N18,X$13))</f>
        <v>0</v>
      </c>
      <c r="Y18" s="64">
        <f>IF(AND($K18=Calc.Top, Y$10=Calc.Left),Player.Direction,INDEX(CHOOSE(INDEX(MazeDef,$L18,Y$11),Primitives!$C$2:$E$4,Primitives!$C$6:$E$8,Primitives!$C$10:$E$12,Primitives!$C$14:$E$16,Primitives!$C$18:$E$20,Primitives!$C$22:$E$24,Primitives!$C$26:$E$28,Primitives!$C$30:$E$32,Primitives!$C$34:$E$36,Primitives!$C$38:$E$40,Primitives!$C$42:$E$44,Primitives!$C$46:$E$48,Primitives!$C$50:$E$52,Primitives!$C$54:$E$56,Primitives!$C$58:$E$60),$N18,Y$13))</f>
        <v>0</v>
      </c>
      <c r="Z18" s="64">
        <f>IF(AND($K18=Calc.Top, Z$10=Calc.Left),Player.Direction,INDEX(CHOOSE(INDEX(MazeDef,$L18,Z$11),Primitives!$C$2:$E$4,Primitives!$C$6:$E$8,Primitives!$C$10:$E$12,Primitives!$C$14:$E$16,Primitives!$C$18:$E$20,Primitives!$C$22:$E$24,Primitives!$C$26:$E$28,Primitives!$C$30:$E$32,Primitives!$C$34:$E$36,Primitives!$C$38:$E$40,Primitives!$C$42:$E$44,Primitives!$C$46:$E$48,Primitives!$C$50:$E$52,Primitives!$C$54:$E$56,Primitives!$C$58:$E$60),$N18,Z$13))</f>
        <v>0</v>
      </c>
      <c r="AA18" s="64">
        <f>IF(AND($K18=Calc.Top, AA$10=Calc.Left),Player.Direction,INDEX(CHOOSE(INDEX(MazeDef,$L18,AA$11),Primitives!$C$2:$E$4,Primitives!$C$6:$E$8,Primitives!$C$10:$E$12,Primitives!$C$14:$E$16,Primitives!$C$18:$E$20,Primitives!$C$22:$E$24,Primitives!$C$26:$E$28,Primitives!$C$30:$E$32,Primitives!$C$34:$E$36,Primitives!$C$38:$E$40,Primitives!$C$42:$E$44,Primitives!$C$46:$E$48,Primitives!$C$50:$E$52,Primitives!$C$54:$E$56,Primitives!$C$58:$E$60),$N18,AA$13))</f>
        <v>0</v>
      </c>
      <c r="AB18" s="64">
        <f>IF(AND($K18=Calc.Top, AB$10=Calc.Left),Player.Direction,INDEX(CHOOSE(INDEX(MazeDef,$L18,AB$11),Primitives!$C$2:$E$4,Primitives!$C$6:$E$8,Primitives!$C$10:$E$12,Primitives!$C$14:$E$16,Primitives!$C$18:$E$20,Primitives!$C$22:$E$24,Primitives!$C$26:$E$28,Primitives!$C$30:$E$32,Primitives!$C$34:$E$36,Primitives!$C$38:$E$40,Primitives!$C$42:$E$44,Primitives!$C$46:$E$48,Primitives!$C$50:$E$52,Primitives!$C$54:$E$56,Primitives!$C$58:$E$60),$N18,AB$13))</f>
        <v>0</v>
      </c>
      <c r="AC18" s="64">
        <f>IF(AND($K18=Calc.Top, AC$10=Calc.Left),Player.Direction,INDEX(CHOOSE(INDEX(MazeDef,$L18,AC$11),Primitives!$C$2:$E$4,Primitives!$C$6:$E$8,Primitives!$C$10:$E$12,Primitives!$C$14:$E$16,Primitives!$C$18:$E$20,Primitives!$C$22:$E$24,Primitives!$C$26:$E$28,Primitives!$C$30:$E$32,Primitives!$C$34:$E$36,Primitives!$C$38:$E$40,Primitives!$C$42:$E$44,Primitives!$C$46:$E$48,Primitives!$C$50:$E$52,Primitives!$C$54:$E$56,Primitives!$C$58:$E$60),$N18,AC$13))</f>
        <v>0</v>
      </c>
      <c r="AD18" s="64">
        <f>IF(AND($K18=Calc.Top, AD$10=Calc.Left),Player.Direction,INDEX(CHOOSE(INDEX(MazeDef,$L18,AD$11),Primitives!$C$2:$E$4,Primitives!$C$6:$E$8,Primitives!$C$10:$E$12,Primitives!$C$14:$E$16,Primitives!$C$18:$E$20,Primitives!$C$22:$E$24,Primitives!$C$26:$E$28,Primitives!$C$30:$E$32,Primitives!$C$34:$E$36,Primitives!$C$38:$E$40,Primitives!$C$42:$E$44,Primitives!$C$46:$E$48,Primitives!$C$50:$E$52,Primitives!$C$54:$E$56,Primitives!$C$58:$E$60),$N18,AD$13))</f>
        <v>0</v>
      </c>
      <c r="AE18" s="64">
        <f>IF(AND($K18=Calc.Top, AE$10=Calc.Left),Player.Direction,INDEX(CHOOSE(INDEX(MazeDef,$L18,AE$11),Primitives!$C$2:$E$4,Primitives!$C$6:$E$8,Primitives!$C$10:$E$12,Primitives!$C$14:$E$16,Primitives!$C$18:$E$20,Primitives!$C$22:$E$24,Primitives!$C$26:$E$28,Primitives!$C$30:$E$32,Primitives!$C$34:$E$36,Primitives!$C$38:$E$40,Primitives!$C$42:$E$44,Primitives!$C$46:$E$48,Primitives!$C$50:$E$52,Primitives!$C$54:$E$56,Primitives!$C$58:$E$60),$N18,AE$13))</f>
        <v>0</v>
      </c>
      <c r="AF18" s="64">
        <f>IF(AND($K18=Calc.Top, AF$10=Calc.Left),Player.Direction,INDEX(CHOOSE(INDEX(MazeDef,$L18,AF$11),Primitives!$C$2:$E$4,Primitives!$C$6:$E$8,Primitives!$C$10:$E$12,Primitives!$C$14:$E$16,Primitives!$C$18:$E$20,Primitives!$C$22:$E$24,Primitives!$C$26:$E$28,Primitives!$C$30:$E$32,Primitives!$C$34:$E$36,Primitives!$C$38:$E$40,Primitives!$C$42:$E$44,Primitives!$C$46:$E$48,Primitives!$C$50:$E$52,Primitives!$C$54:$E$56,Primitives!$C$58:$E$60),$N18,AF$13))</f>
        <v>1</v>
      </c>
      <c r="AG18" s="64">
        <f>IF(AND($K18=Calc.Top, AG$10=Calc.Left),Player.Direction,INDEX(CHOOSE(INDEX(MazeDef,$L18,AG$11),Primitives!$C$2:$E$4,Primitives!$C$6:$E$8,Primitives!$C$10:$E$12,Primitives!$C$14:$E$16,Primitives!$C$18:$E$20,Primitives!$C$22:$E$24,Primitives!$C$26:$E$28,Primitives!$C$30:$E$32,Primitives!$C$34:$E$36,Primitives!$C$38:$E$40,Primitives!$C$42:$E$44,Primitives!$C$46:$E$48,Primitives!$C$50:$E$52,Primitives!$C$54:$E$56,Primitives!$C$58:$E$60),$N18,AG$13))</f>
        <v>1</v>
      </c>
      <c r="AH18" s="64">
        <f>IF(AND($K18=Calc.Top, AH$10=Calc.Left),Player.Direction,INDEX(CHOOSE(INDEX(MazeDef,$L18,AH$11),Primitives!$C$2:$E$4,Primitives!$C$6:$E$8,Primitives!$C$10:$E$12,Primitives!$C$14:$E$16,Primitives!$C$18:$E$20,Primitives!$C$22:$E$24,Primitives!$C$26:$E$28,Primitives!$C$30:$E$32,Primitives!$C$34:$E$36,Primitives!$C$38:$E$40,Primitives!$C$42:$E$44,Primitives!$C$46:$E$48,Primitives!$C$50:$E$52,Primitives!$C$54:$E$56,Primitives!$C$58:$E$60),$N18,AH$13))</f>
        <v>0</v>
      </c>
      <c r="AI18" s="64">
        <f>IF(AND($K18=Calc.Top, AI$10=Calc.Left),Player.Direction,INDEX(CHOOSE(INDEX(MazeDef,$L18,AI$11),Primitives!$C$2:$E$4,Primitives!$C$6:$E$8,Primitives!$C$10:$E$12,Primitives!$C$14:$E$16,Primitives!$C$18:$E$20,Primitives!$C$22:$E$24,Primitives!$C$26:$E$28,Primitives!$C$30:$E$32,Primitives!$C$34:$E$36,Primitives!$C$38:$E$40,Primitives!$C$42:$E$44,Primitives!$C$46:$E$48,Primitives!$C$50:$E$52,Primitives!$C$54:$E$56,Primitives!$C$58:$E$60),$N18,AI$13))</f>
        <v>0</v>
      </c>
      <c r="AJ18" s="64">
        <f>IF(AND($K18=Calc.Top, AJ$10=Calc.Left),Player.Direction,INDEX(CHOOSE(INDEX(MazeDef,$L18,AJ$11),Primitives!$C$2:$E$4,Primitives!$C$6:$E$8,Primitives!$C$10:$E$12,Primitives!$C$14:$E$16,Primitives!$C$18:$E$20,Primitives!$C$22:$E$24,Primitives!$C$26:$E$28,Primitives!$C$30:$E$32,Primitives!$C$34:$E$36,Primitives!$C$38:$E$40,Primitives!$C$42:$E$44,Primitives!$C$46:$E$48,Primitives!$C$50:$E$52,Primitives!$C$54:$E$56,Primitives!$C$58:$E$60),$N18,AJ$13))</f>
        <v>0</v>
      </c>
      <c r="AK18" s="64">
        <f>IF(AND($K18=Calc.Top, AK$10=Calc.Left),Player.Direction,INDEX(CHOOSE(INDEX(MazeDef,$L18,AK$11),Primitives!$C$2:$E$4,Primitives!$C$6:$E$8,Primitives!$C$10:$E$12,Primitives!$C$14:$E$16,Primitives!$C$18:$E$20,Primitives!$C$22:$E$24,Primitives!$C$26:$E$28,Primitives!$C$30:$E$32,Primitives!$C$34:$E$36,Primitives!$C$38:$E$40,Primitives!$C$42:$E$44,Primitives!$C$46:$E$48,Primitives!$C$50:$E$52,Primitives!$C$54:$E$56,Primitives!$C$58:$E$60),$N18,AK$13))</f>
        <v>0</v>
      </c>
      <c r="AL18" s="64">
        <f>IF(AND($K18=Calc.Top, AL$10=Calc.Left),Player.Direction,INDEX(CHOOSE(INDEX(MazeDef,$L18,AL$11),Primitives!$C$2:$E$4,Primitives!$C$6:$E$8,Primitives!$C$10:$E$12,Primitives!$C$14:$E$16,Primitives!$C$18:$E$20,Primitives!$C$22:$E$24,Primitives!$C$26:$E$28,Primitives!$C$30:$E$32,Primitives!$C$34:$E$36,Primitives!$C$38:$E$40,Primitives!$C$42:$E$44,Primitives!$C$46:$E$48,Primitives!$C$50:$E$52,Primitives!$C$54:$E$56,Primitives!$C$58:$E$60),$N18,AL$13))</f>
        <v>1</v>
      </c>
      <c r="AM18" s="64">
        <f>IF(AND($K18=Calc.Top, AM$10=Calc.Left),Player.Direction,INDEX(CHOOSE(INDEX(MazeDef,$L18,AM$11),Primitives!$C$2:$E$4,Primitives!$C$6:$E$8,Primitives!$C$10:$E$12,Primitives!$C$14:$E$16,Primitives!$C$18:$E$20,Primitives!$C$22:$E$24,Primitives!$C$26:$E$28,Primitives!$C$30:$E$32,Primitives!$C$34:$E$36,Primitives!$C$38:$E$40,Primitives!$C$42:$E$44,Primitives!$C$46:$E$48,Primitives!$C$50:$E$52,Primitives!$C$54:$E$56,Primitives!$C$58:$E$60),$N18,AM$13))</f>
        <v>1</v>
      </c>
      <c r="AN18" s="64">
        <f>IF(AND($K18=Calc.Top, AN$10=Calc.Left),Player.Direction,INDEX(CHOOSE(INDEX(MazeDef,$L18,AN$11),Primitives!$C$2:$E$4,Primitives!$C$6:$E$8,Primitives!$C$10:$E$12,Primitives!$C$14:$E$16,Primitives!$C$18:$E$20,Primitives!$C$22:$E$24,Primitives!$C$26:$E$28,Primitives!$C$30:$E$32,Primitives!$C$34:$E$36,Primitives!$C$38:$E$40,Primitives!$C$42:$E$44,Primitives!$C$46:$E$48,Primitives!$C$50:$E$52,Primitives!$C$54:$E$56,Primitives!$C$58:$E$60),$N18,AN$13))</f>
        <v>0</v>
      </c>
      <c r="AO18" s="64">
        <f>IF(AND($K18=Calc.Top, AO$10=Calc.Left),Player.Direction,INDEX(CHOOSE(INDEX(MazeDef,$L18,AO$11),Primitives!$C$2:$E$4,Primitives!$C$6:$E$8,Primitives!$C$10:$E$12,Primitives!$C$14:$E$16,Primitives!$C$18:$E$20,Primitives!$C$22:$E$24,Primitives!$C$26:$E$28,Primitives!$C$30:$E$32,Primitives!$C$34:$E$36,Primitives!$C$38:$E$40,Primitives!$C$42:$E$44,Primitives!$C$46:$E$48,Primitives!$C$50:$E$52,Primitives!$C$54:$E$56,Primitives!$C$58:$E$60),$N18,AO$13))</f>
        <v>0</v>
      </c>
      <c r="AP18" s="64">
        <f>IF(AND($K18=Calc.Top, AP$10=Calc.Left),Player.Direction,INDEX(CHOOSE(INDEX(MazeDef,$L18,AP$11),Primitives!$C$2:$E$4,Primitives!$C$6:$E$8,Primitives!$C$10:$E$12,Primitives!$C$14:$E$16,Primitives!$C$18:$E$20,Primitives!$C$22:$E$24,Primitives!$C$26:$E$28,Primitives!$C$30:$E$32,Primitives!$C$34:$E$36,Primitives!$C$38:$E$40,Primitives!$C$42:$E$44,Primitives!$C$46:$E$48,Primitives!$C$50:$E$52,Primitives!$C$54:$E$56,Primitives!$C$58:$E$60),$N18,AP$13))</f>
        <v>0</v>
      </c>
      <c r="AQ18" s="64">
        <f>IF(AND($K18=Calc.Top, AQ$10=Calc.Left),Player.Direction,INDEX(CHOOSE(INDEX(MazeDef,$L18,AQ$11),Primitives!$C$2:$E$4,Primitives!$C$6:$E$8,Primitives!$C$10:$E$12,Primitives!$C$14:$E$16,Primitives!$C$18:$E$20,Primitives!$C$22:$E$24,Primitives!$C$26:$E$28,Primitives!$C$30:$E$32,Primitives!$C$34:$E$36,Primitives!$C$38:$E$40,Primitives!$C$42:$E$44,Primitives!$C$46:$E$48,Primitives!$C$50:$E$52,Primitives!$C$54:$E$56,Primitives!$C$58:$E$60),$N18,AQ$13))</f>
        <v>0</v>
      </c>
      <c r="AR18" s="64">
        <f>IF(AND($K18=Calc.Top, AR$10=Calc.Left),Player.Direction,INDEX(CHOOSE(INDEX(MazeDef,$L18,AR$11),Primitives!$C$2:$E$4,Primitives!$C$6:$E$8,Primitives!$C$10:$E$12,Primitives!$C$14:$E$16,Primitives!$C$18:$E$20,Primitives!$C$22:$E$24,Primitives!$C$26:$E$28,Primitives!$C$30:$E$32,Primitives!$C$34:$E$36,Primitives!$C$38:$E$40,Primitives!$C$42:$E$44,Primitives!$C$46:$E$48,Primitives!$C$50:$E$52,Primitives!$C$54:$E$56,Primitives!$C$58:$E$60),$N18,AR$13))</f>
        <v>1</v>
      </c>
      <c r="AS18" s="2"/>
      <c r="AT18" s="2"/>
      <c r="AU18" s="2"/>
      <c r="AV18" s="2"/>
    </row>
    <row r="19" spans="1:48" ht="9" customHeight="1" x14ac:dyDescent="0.25">
      <c r="A19" s="5">
        <v>2</v>
      </c>
      <c r="B19" s="21"/>
      <c r="C19" s="21"/>
      <c r="D19" s="21">
        <v>1</v>
      </c>
      <c r="E19" s="2"/>
      <c r="F19" s="2"/>
      <c r="G19" s="2"/>
      <c r="H19" s="2"/>
      <c r="I19" s="2"/>
      <c r="J19" s="2"/>
      <c r="K19" s="2">
        <v>6</v>
      </c>
      <c r="L19" s="2">
        <v>2</v>
      </c>
      <c r="M19" s="69"/>
      <c r="N19" s="9">
        <v>3</v>
      </c>
      <c r="O19" s="64">
        <f>IF(AND($K19=Calc.Top, O$10=Calc.Left),Player.Direction,INDEX(CHOOSE(INDEX(MazeDef,$L19,O$11),Primitives!$C$2:$E$4,Primitives!$C$6:$E$8,Primitives!$C$10:$E$12,Primitives!$C$14:$E$16,Primitives!$C$18:$E$20,Primitives!$C$22:$E$24,Primitives!$C$26:$E$28,Primitives!$C$30:$E$32,Primitives!$C$34:$E$36,Primitives!$C$38:$E$40,Primitives!$C$42:$E$44,Primitives!$C$46:$E$48,Primitives!$C$50:$E$52,Primitives!$C$54:$E$56,Primitives!$C$58:$E$60),$N19,O$13))</f>
        <v>1</v>
      </c>
      <c r="P19" s="64">
        <f>IF(AND($K19=Calc.Top, P$10=Calc.Left),Player.Direction,INDEX(CHOOSE(INDEX(MazeDef,$L19,P$11),Primitives!$C$2:$E$4,Primitives!$C$6:$E$8,Primitives!$C$10:$E$12,Primitives!$C$14:$E$16,Primitives!$C$18:$E$20,Primitives!$C$22:$E$24,Primitives!$C$26:$E$28,Primitives!$C$30:$E$32,Primitives!$C$34:$E$36,Primitives!$C$38:$E$40,Primitives!$C$42:$E$44,Primitives!$C$46:$E$48,Primitives!$C$50:$E$52,Primitives!$C$54:$E$56,Primitives!$C$58:$E$60),$N19,P$13))</f>
        <v>0</v>
      </c>
      <c r="Q19" s="64">
        <f>IF(AND($K19=Calc.Top, Q$10=Calc.Left),Player.Direction,INDEX(CHOOSE(INDEX(MazeDef,$L19,Q$11),Primitives!$C$2:$E$4,Primitives!$C$6:$E$8,Primitives!$C$10:$E$12,Primitives!$C$14:$E$16,Primitives!$C$18:$E$20,Primitives!$C$22:$E$24,Primitives!$C$26:$E$28,Primitives!$C$30:$E$32,Primitives!$C$34:$E$36,Primitives!$C$38:$E$40,Primitives!$C$42:$E$44,Primitives!$C$46:$E$48,Primitives!$C$50:$E$52,Primitives!$C$54:$E$56,Primitives!$C$58:$E$60),$N19,Q$13))</f>
        <v>1</v>
      </c>
      <c r="R19" s="64">
        <f>IF(AND($K19=Calc.Top, R$10=Calc.Left),Player.Direction,INDEX(CHOOSE(INDEX(MazeDef,$L19,R$11),Primitives!$C$2:$E$4,Primitives!$C$6:$E$8,Primitives!$C$10:$E$12,Primitives!$C$14:$E$16,Primitives!$C$18:$E$20,Primitives!$C$22:$E$24,Primitives!$C$26:$E$28,Primitives!$C$30:$E$32,Primitives!$C$34:$E$36,Primitives!$C$38:$E$40,Primitives!$C$42:$E$44,Primitives!$C$46:$E$48,Primitives!$C$50:$E$52,Primitives!$C$54:$E$56,Primitives!$C$58:$E$60),$N19,R$13))</f>
        <v>1</v>
      </c>
      <c r="S19" s="64">
        <f>IF(AND($K19=Calc.Top, S$10=Calc.Left),Player.Direction,INDEX(CHOOSE(INDEX(MazeDef,$L19,S$11),Primitives!$C$2:$E$4,Primitives!$C$6:$E$8,Primitives!$C$10:$E$12,Primitives!$C$14:$E$16,Primitives!$C$18:$E$20,Primitives!$C$22:$E$24,Primitives!$C$26:$E$28,Primitives!$C$30:$E$32,Primitives!$C$34:$E$36,Primitives!$C$38:$E$40,Primitives!$C$42:$E$44,Primitives!$C$46:$E$48,Primitives!$C$50:$E$52,Primitives!$C$54:$E$56,Primitives!$C$58:$E$60),$N19,S$13))</f>
        <v>1</v>
      </c>
      <c r="T19" s="64">
        <f>IF(AND($K19=Calc.Top, T$10=Calc.Left),Player.Direction,INDEX(CHOOSE(INDEX(MazeDef,$L19,T$11),Primitives!$C$2:$E$4,Primitives!$C$6:$E$8,Primitives!$C$10:$E$12,Primitives!$C$14:$E$16,Primitives!$C$18:$E$20,Primitives!$C$22:$E$24,Primitives!$C$26:$E$28,Primitives!$C$30:$E$32,Primitives!$C$34:$E$36,Primitives!$C$38:$E$40,Primitives!$C$42:$E$44,Primitives!$C$46:$E$48,Primitives!$C$50:$E$52,Primitives!$C$54:$E$56,Primitives!$C$58:$E$60),$N19,T$13))</f>
        <v>1</v>
      </c>
      <c r="U19" s="64">
        <f>IF(AND($K19=Calc.Top, U$10=Calc.Left),Player.Direction,INDEX(CHOOSE(INDEX(MazeDef,$L19,U$11),Primitives!$C$2:$E$4,Primitives!$C$6:$E$8,Primitives!$C$10:$E$12,Primitives!$C$14:$E$16,Primitives!$C$18:$E$20,Primitives!$C$22:$E$24,Primitives!$C$26:$E$28,Primitives!$C$30:$E$32,Primitives!$C$34:$E$36,Primitives!$C$38:$E$40,Primitives!$C$42:$E$44,Primitives!$C$46:$E$48,Primitives!$C$50:$E$52,Primitives!$C$54:$E$56,Primitives!$C$58:$E$60),$N19,U$13))</f>
        <v>1</v>
      </c>
      <c r="V19" s="64">
        <f>IF(AND($K19=Calc.Top, V$10=Calc.Left),Player.Direction,INDEX(CHOOSE(INDEX(MazeDef,$L19,V$11),Primitives!$C$2:$E$4,Primitives!$C$6:$E$8,Primitives!$C$10:$E$12,Primitives!$C$14:$E$16,Primitives!$C$18:$E$20,Primitives!$C$22:$E$24,Primitives!$C$26:$E$28,Primitives!$C$30:$E$32,Primitives!$C$34:$E$36,Primitives!$C$38:$E$40,Primitives!$C$42:$E$44,Primitives!$C$46:$E$48,Primitives!$C$50:$E$52,Primitives!$C$54:$E$56,Primitives!$C$58:$E$60),$N19,V$13))</f>
        <v>1</v>
      </c>
      <c r="W19" s="64">
        <f>IF(AND($K19=Calc.Top, W$10=Calc.Left),Player.Direction,INDEX(CHOOSE(INDEX(MazeDef,$L19,W$11),Primitives!$C$2:$E$4,Primitives!$C$6:$E$8,Primitives!$C$10:$E$12,Primitives!$C$14:$E$16,Primitives!$C$18:$E$20,Primitives!$C$22:$E$24,Primitives!$C$26:$E$28,Primitives!$C$30:$E$32,Primitives!$C$34:$E$36,Primitives!$C$38:$E$40,Primitives!$C$42:$E$44,Primitives!$C$46:$E$48,Primitives!$C$50:$E$52,Primitives!$C$54:$E$56,Primitives!$C$58:$E$60),$N19,W$13))</f>
        <v>1</v>
      </c>
      <c r="X19" s="64">
        <f>IF(AND($K19=Calc.Top, X$10=Calc.Left),Player.Direction,INDEX(CHOOSE(INDEX(MazeDef,$L19,X$11),Primitives!$C$2:$E$4,Primitives!$C$6:$E$8,Primitives!$C$10:$E$12,Primitives!$C$14:$E$16,Primitives!$C$18:$E$20,Primitives!$C$22:$E$24,Primitives!$C$26:$E$28,Primitives!$C$30:$E$32,Primitives!$C$34:$E$36,Primitives!$C$38:$E$40,Primitives!$C$42:$E$44,Primitives!$C$46:$E$48,Primitives!$C$50:$E$52,Primitives!$C$54:$E$56,Primitives!$C$58:$E$60),$N19,X$13))</f>
        <v>1</v>
      </c>
      <c r="Y19" s="64">
        <f>IF(AND($K19=Calc.Top, Y$10=Calc.Left),Player.Direction,INDEX(CHOOSE(INDEX(MazeDef,$L19,Y$11),Primitives!$C$2:$E$4,Primitives!$C$6:$E$8,Primitives!$C$10:$E$12,Primitives!$C$14:$E$16,Primitives!$C$18:$E$20,Primitives!$C$22:$E$24,Primitives!$C$26:$E$28,Primitives!$C$30:$E$32,Primitives!$C$34:$E$36,Primitives!$C$38:$E$40,Primitives!$C$42:$E$44,Primitives!$C$46:$E$48,Primitives!$C$50:$E$52,Primitives!$C$54:$E$56,Primitives!$C$58:$E$60),$N19,Y$13))</f>
        <v>0</v>
      </c>
      <c r="Z19" s="64">
        <f>IF(AND($K19=Calc.Top, Z$10=Calc.Left),Player.Direction,INDEX(CHOOSE(INDEX(MazeDef,$L19,Z$11),Primitives!$C$2:$E$4,Primitives!$C$6:$E$8,Primitives!$C$10:$E$12,Primitives!$C$14:$E$16,Primitives!$C$18:$E$20,Primitives!$C$22:$E$24,Primitives!$C$26:$E$28,Primitives!$C$30:$E$32,Primitives!$C$34:$E$36,Primitives!$C$38:$E$40,Primitives!$C$42:$E$44,Primitives!$C$46:$E$48,Primitives!$C$50:$E$52,Primitives!$C$54:$E$56,Primitives!$C$58:$E$60),$N19,Z$13))</f>
        <v>1</v>
      </c>
      <c r="AA19" s="64">
        <f>IF(AND($K19=Calc.Top, AA$10=Calc.Left),Player.Direction,INDEX(CHOOSE(INDEX(MazeDef,$L19,AA$11),Primitives!$C$2:$E$4,Primitives!$C$6:$E$8,Primitives!$C$10:$E$12,Primitives!$C$14:$E$16,Primitives!$C$18:$E$20,Primitives!$C$22:$E$24,Primitives!$C$26:$E$28,Primitives!$C$30:$E$32,Primitives!$C$34:$E$36,Primitives!$C$38:$E$40,Primitives!$C$42:$E$44,Primitives!$C$46:$E$48,Primitives!$C$50:$E$52,Primitives!$C$54:$E$56,Primitives!$C$58:$E$60),$N19,AA$13))</f>
        <v>1</v>
      </c>
      <c r="AB19" s="64">
        <f>IF(AND($K19=Calc.Top, AB$10=Calc.Left),Player.Direction,INDEX(CHOOSE(INDEX(MazeDef,$L19,AB$11),Primitives!$C$2:$E$4,Primitives!$C$6:$E$8,Primitives!$C$10:$E$12,Primitives!$C$14:$E$16,Primitives!$C$18:$E$20,Primitives!$C$22:$E$24,Primitives!$C$26:$E$28,Primitives!$C$30:$E$32,Primitives!$C$34:$E$36,Primitives!$C$38:$E$40,Primitives!$C$42:$E$44,Primitives!$C$46:$E$48,Primitives!$C$50:$E$52,Primitives!$C$54:$E$56,Primitives!$C$58:$E$60),$N19,AB$13))</f>
        <v>1</v>
      </c>
      <c r="AC19" s="64">
        <f>IF(AND($K19=Calc.Top, AC$10=Calc.Left),Player.Direction,INDEX(CHOOSE(INDEX(MazeDef,$L19,AC$11),Primitives!$C$2:$E$4,Primitives!$C$6:$E$8,Primitives!$C$10:$E$12,Primitives!$C$14:$E$16,Primitives!$C$18:$E$20,Primitives!$C$22:$E$24,Primitives!$C$26:$E$28,Primitives!$C$30:$E$32,Primitives!$C$34:$E$36,Primitives!$C$38:$E$40,Primitives!$C$42:$E$44,Primitives!$C$46:$E$48,Primitives!$C$50:$E$52,Primitives!$C$54:$E$56,Primitives!$C$58:$E$60),$N19,AC$13))</f>
        <v>1</v>
      </c>
      <c r="AD19" s="64">
        <f>IF(AND($K19=Calc.Top, AD$10=Calc.Left),Player.Direction,INDEX(CHOOSE(INDEX(MazeDef,$L19,AD$11),Primitives!$C$2:$E$4,Primitives!$C$6:$E$8,Primitives!$C$10:$E$12,Primitives!$C$14:$E$16,Primitives!$C$18:$E$20,Primitives!$C$22:$E$24,Primitives!$C$26:$E$28,Primitives!$C$30:$E$32,Primitives!$C$34:$E$36,Primitives!$C$38:$E$40,Primitives!$C$42:$E$44,Primitives!$C$46:$E$48,Primitives!$C$50:$E$52,Primitives!$C$54:$E$56,Primitives!$C$58:$E$60),$N19,AD$13))</f>
        <v>1</v>
      </c>
      <c r="AE19" s="64">
        <f>IF(AND($K19=Calc.Top, AE$10=Calc.Left),Player.Direction,INDEX(CHOOSE(INDEX(MazeDef,$L19,AE$11),Primitives!$C$2:$E$4,Primitives!$C$6:$E$8,Primitives!$C$10:$E$12,Primitives!$C$14:$E$16,Primitives!$C$18:$E$20,Primitives!$C$22:$E$24,Primitives!$C$26:$E$28,Primitives!$C$30:$E$32,Primitives!$C$34:$E$36,Primitives!$C$38:$E$40,Primitives!$C$42:$E$44,Primitives!$C$46:$E$48,Primitives!$C$50:$E$52,Primitives!$C$54:$E$56,Primitives!$C$58:$E$60),$N19,AE$13))</f>
        <v>0</v>
      </c>
      <c r="AF19" s="64">
        <f>IF(AND($K19=Calc.Top, AF$10=Calc.Left),Player.Direction,INDEX(CHOOSE(INDEX(MazeDef,$L19,AF$11),Primitives!$C$2:$E$4,Primitives!$C$6:$E$8,Primitives!$C$10:$E$12,Primitives!$C$14:$E$16,Primitives!$C$18:$E$20,Primitives!$C$22:$E$24,Primitives!$C$26:$E$28,Primitives!$C$30:$E$32,Primitives!$C$34:$E$36,Primitives!$C$38:$E$40,Primitives!$C$42:$E$44,Primitives!$C$46:$E$48,Primitives!$C$50:$E$52,Primitives!$C$54:$E$56,Primitives!$C$58:$E$60),$N19,AF$13))</f>
        <v>1</v>
      </c>
      <c r="AG19" s="64">
        <f>IF(AND($K19=Calc.Top, AG$10=Calc.Left),Player.Direction,INDEX(CHOOSE(INDEX(MazeDef,$L19,AG$11),Primitives!$C$2:$E$4,Primitives!$C$6:$E$8,Primitives!$C$10:$E$12,Primitives!$C$14:$E$16,Primitives!$C$18:$E$20,Primitives!$C$22:$E$24,Primitives!$C$26:$E$28,Primitives!$C$30:$E$32,Primitives!$C$34:$E$36,Primitives!$C$38:$E$40,Primitives!$C$42:$E$44,Primitives!$C$46:$E$48,Primitives!$C$50:$E$52,Primitives!$C$54:$E$56,Primitives!$C$58:$E$60),$N19,AG$13))</f>
        <v>1</v>
      </c>
      <c r="AH19" s="64">
        <f>IF(AND($K19=Calc.Top, AH$10=Calc.Left),Player.Direction,INDEX(CHOOSE(INDEX(MazeDef,$L19,AH$11),Primitives!$C$2:$E$4,Primitives!$C$6:$E$8,Primitives!$C$10:$E$12,Primitives!$C$14:$E$16,Primitives!$C$18:$E$20,Primitives!$C$22:$E$24,Primitives!$C$26:$E$28,Primitives!$C$30:$E$32,Primitives!$C$34:$E$36,Primitives!$C$38:$E$40,Primitives!$C$42:$E$44,Primitives!$C$46:$E$48,Primitives!$C$50:$E$52,Primitives!$C$54:$E$56,Primitives!$C$58:$E$60),$N19,AH$13))</f>
        <v>0</v>
      </c>
      <c r="AI19" s="64">
        <f>IF(AND($K19=Calc.Top, AI$10=Calc.Left),Player.Direction,INDEX(CHOOSE(INDEX(MazeDef,$L19,AI$11),Primitives!$C$2:$E$4,Primitives!$C$6:$E$8,Primitives!$C$10:$E$12,Primitives!$C$14:$E$16,Primitives!$C$18:$E$20,Primitives!$C$22:$E$24,Primitives!$C$26:$E$28,Primitives!$C$30:$E$32,Primitives!$C$34:$E$36,Primitives!$C$38:$E$40,Primitives!$C$42:$E$44,Primitives!$C$46:$E$48,Primitives!$C$50:$E$52,Primitives!$C$54:$E$56,Primitives!$C$58:$E$60),$N19,AI$13))</f>
        <v>1</v>
      </c>
      <c r="AJ19" s="64">
        <f>IF(AND($K19=Calc.Top, AJ$10=Calc.Left),Player.Direction,INDEX(CHOOSE(INDEX(MazeDef,$L19,AJ$11),Primitives!$C$2:$E$4,Primitives!$C$6:$E$8,Primitives!$C$10:$E$12,Primitives!$C$14:$E$16,Primitives!$C$18:$E$20,Primitives!$C$22:$E$24,Primitives!$C$26:$E$28,Primitives!$C$30:$E$32,Primitives!$C$34:$E$36,Primitives!$C$38:$E$40,Primitives!$C$42:$E$44,Primitives!$C$46:$E$48,Primitives!$C$50:$E$52,Primitives!$C$54:$E$56,Primitives!$C$58:$E$60),$N19,AJ$13))</f>
        <v>1</v>
      </c>
      <c r="AK19" s="64">
        <f>IF(AND($K19=Calc.Top, AK$10=Calc.Left),Player.Direction,INDEX(CHOOSE(INDEX(MazeDef,$L19,AK$11),Primitives!$C$2:$E$4,Primitives!$C$6:$E$8,Primitives!$C$10:$E$12,Primitives!$C$14:$E$16,Primitives!$C$18:$E$20,Primitives!$C$22:$E$24,Primitives!$C$26:$E$28,Primitives!$C$30:$E$32,Primitives!$C$34:$E$36,Primitives!$C$38:$E$40,Primitives!$C$42:$E$44,Primitives!$C$46:$E$48,Primitives!$C$50:$E$52,Primitives!$C$54:$E$56,Primitives!$C$58:$E$60),$N19,AK$13))</f>
        <v>0</v>
      </c>
      <c r="AL19" s="64">
        <f>IF(AND($K19=Calc.Top, AL$10=Calc.Left),Player.Direction,INDEX(CHOOSE(INDEX(MazeDef,$L19,AL$11),Primitives!$C$2:$E$4,Primitives!$C$6:$E$8,Primitives!$C$10:$E$12,Primitives!$C$14:$E$16,Primitives!$C$18:$E$20,Primitives!$C$22:$E$24,Primitives!$C$26:$E$28,Primitives!$C$30:$E$32,Primitives!$C$34:$E$36,Primitives!$C$38:$E$40,Primitives!$C$42:$E$44,Primitives!$C$46:$E$48,Primitives!$C$50:$E$52,Primitives!$C$54:$E$56,Primitives!$C$58:$E$60),$N19,AL$13))</f>
        <v>1</v>
      </c>
      <c r="AM19" s="64">
        <f>IF(AND($K19=Calc.Top, AM$10=Calc.Left),Player.Direction,INDEX(CHOOSE(INDEX(MazeDef,$L19,AM$11),Primitives!$C$2:$E$4,Primitives!$C$6:$E$8,Primitives!$C$10:$E$12,Primitives!$C$14:$E$16,Primitives!$C$18:$E$20,Primitives!$C$22:$E$24,Primitives!$C$26:$E$28,Primitives!$C$30:$E$32,Primitives!$C$34:$E$36,Primitives!$C$38:$E$40,Primitives!$C$42:$E$44,Primitives!$C$46:$E$48,Primitives!$C$50:$E$52,Primitives!$C$54:$E$56,Primitives!$C$58:$E$60),$N19,AM$13))</f>
        <v>1</v>
      </c>
      <c r="AN19" s="64">
        <f>IF(AND($K19=Calc.Top, AN$10=Calc.Left),Player.Direction,INDEX(CHOOSE(INDEX(MazeDef,$L19,AN$11),Primitives!$C$2:$E$4,Primitives!$C$6:$E$8,Primitives!$C$10:$E$12,Primitives!$C$14:$E$16,Primitives!$C$18:$E$20,Primitives!$C$22:$E$24,Primitives!$C$26:$E$28,Primitives!$C$30:$E$32,Primitives!$C$34:$E$36,Primitives!$C$38:$E$40,Primitives!$C$42:$E$44,Primitives!$C$46:$E$48,Primitives!$C$50:$E$52,Primitives!$C$54:$E$56,Primitives!$C$58:$E$60),$N19,AN$13))</f>
        <v>0</v>
      </c>
      <c r="AO19" s="64">
        <f>IF(AND($K19=Calc.Top, AO$10=Calc.Left),Player.Direction,INDEX(CHOOSE(INDEX(MazeDef,$L19,AO$11),Primitives!$C$2:$E$4,Primitives!$C$6:$E$8,Primitives!$C$10:$E$12,Primitives!$C$14:$E$16,Primitives!$C$18:$E$20,Primitives!$C$22:$E$24,Primitives!$C$26:$E$28,Primitives!$C$30:$E$32,Primitives!$C$34:$E$36,Primitives!$C$38:$E$40,Primitives!$C$42:$E$44,Primitives!$C$46:$E$48,Primitives!$C$50:$E$52,Primitives!$C$54:$E$56,Primitives!$C$58:$E$60),$N19,AO$13))</f>
        <v>1</v>
      </c>
      <c r="AP19" s="64">
        <f>IF(AND($K19=Calc.Top, AP$10=Calc.Left),Player.Direction,INDEX(CHOOSE(INDEX(MazeDef,$L19,AP$11),Primitives!$C$2:$E$4,Primitives!$C$6:$E$8,Primitives!$C$10:$E$12,Primitives!$C$14:$E$16,Primitives!$C$18:$E$20,Primitives!$C$22:$E$24,Primitives!$C$26:$E$28,Primitives!$C$30:$E$32,Primitives!$C$34:$E$36,Primitives!$C$38:$E$40,Primitives!$C$42:$E$44,Primitives!$C$46:$E$48,Primitives!$C$50:$E$52,Primitives!$C$54:$E$56,Primitives!$C$58:$E$60),$N19,AP$13))</f>
        <v>1</v>
      </c>
      <c r="AQ19" s="64">
        <f>IF(AND($K19=Calc.Top, AQ$10=Calc.Left),Player.Direction,INDEX(CHOOSE(INDEX(MazeDef,$L19,AQ$11),Primitives!$C$2:$E$4,Primitives!$C$6:$E$8,Primitives!$C$10:$E$12,Primitives!$C$14:$E$16,Primitives!$C$18:$E$20,Primitives!$C$22:$E$24,Primitives!$C$26:$E$28,Primitives!$C$30:$E$32,Primitives!$C$34:$E$36,Primitives!$C$38:$E$40,Primitives!$C$42:$E$44,Primitives!$C$46:$E$48,Primitives!$C$50:$E$52,Primitives!$C$54:$E$56,Primitives!$C$58:$E$60),$N19,AQ$13))</f>
        <v>1</v>
      </c>
      <c r="AR19" s="64">
        <f>IF(AND($K19=Calc.Top, AR$10=Calc.Left),Player.Direction,INDEX(CHOOSE(INDEX(MazeDef,$L19,AR$11),Primitives!$C$2:$E$4,Primitives!$C$6:$E$8,Primitives!$C$10:$E$12,Primitives!$C$14:$E$16,Primitives!$C$18:$E$20,Primitives!$C$22:$E$24,Primitives!$C$26:$E$28,Primitives!$C$30:$E$32,Primitives!$C$34:$E$36,Primitives!$C$38:$E$40,Primitives!$C$42:$E$44,Primitives!$C$46:$E$48,Primitives!$C$50:$E$52,Primitives!$C$54:$E$56,Primitives!$C$58:$E$60),$N19,AR$13))</f>
        <v>1</v>
      </c>
      <c r="AS19" s="2"/>
      <c r="AT19" s="2"/>
      <c r="AU19" s="2"/>
      <c r="AV19" s="2"/>
    </row>
    <row r="20" spans="1:48" ht="9" customHeight="1" x14ac:dyDescent="0.25">
      <c r="A20" s="5"/>
      <c r="B20" s="21">
        <v>1</v>
      </c>
      <c r="C20" s="21">
        <v>1</v>
      </c>
      <c r="D20" s="21">
        <v>1</v>
      </c>
      <c r="E20" s="2"/>
      <c r="F20" s="2"/>
      <c r="G20" s="2"/>
      <c r="H20" s="2"/>
      <c r="I20" s="2"/>
      <c r="J20" s="2"/>
      <c r="K20" s="2">
        <v>7</v>
      </c>
      <c r="L20" s="2">
        <v>3</v>
      </c>
      <c r="M20" s="67">
        <v>3</v>
      </c>
      <c r="N20" s="7">
        <v>1</v>
      </c>
      <c r="O20" s="64">
        <f>IF(AND($K20=Calc.Top, O$10=Calc.Left),Player.Direction,INDEX(CHOOSE(INDEX(MazeDef,$L20,O$11),Primitives!$C$2:$E$4,Primitives!$C$6:$E$8,Primitives!$C$10:$E$12,Primitives!$C$14:$E$16,Primitives!$C$18:$E$20,Primitives!$C$22:$E$24,Primitives!$C$26:$E$28,Primitives!$C$30:$E$32,Primitives!$C$34:$E$36,Primitives!$C$38:$E$40,Primitives!$C$42:$E$44,Primitives!$C$46:$E$48,Primitives!$C$50:$E$52,Primitives!$C$54:$E$56,Primitives!$C$58:$E$60),$N20,O$13))</f>
        <v>1</v>
      </c>
      <c r="P20" s="64">
        <f>IF(AND($K20=Calc.Top, P$10=Calc.Left),Player.Direction,INDEX(CHOOSE(INDEX(MazeDef,$L20,P$11),Primitives!$C$2:$E$4,Primitives!$C$6:$E$8,Primitives!$C$10:$E$12,Primitives!$C$14:$E$16,Primitives!$C$18:$E$20,Primitives!$C$22:$E$24,Primitives!$C$26:$E$28,Primitives!$C$30:$E$32,Primitives!$C$34:$E$36,Primitives!$C$38:$E$40,Primitives!$C$42:$E$44,Primitives!$C$46:$E$48,Primitives!$C$50:$E$52,Primitives!$C$54:$E$56,Primitives!$C$58:$E$60),$N20,P$13))</f>
        <v>0</v>
      </c>
      <c r="Q20" s="64">
        <f>IF(AND($K20=Calc.Top, Q$10=Calc.Left),Player.Direction,INDEX(CHOOSE(INDEX(MazeDef,$L20,Q$11),Primitives!$C$2:$E$4,Primitives!$C$6:$E$8,Primitives!$C$10:$E$12,Primitives!$C$14:$E$16,Primitives!$C$18:$E$20,Primitives!$C$22:$E$24,Primitives!$C$26:$E$28,Primitives!$C$30:$E$32,Primitives!$C$34:$E$36,Primitives!$C$38:$E$40,Primitives!$C$42:$E$44,Primitives!$C$46:$E$48,Primitives!$C$50:$E$52,Primitives!$C$54:$E$56,Primitives!$C$58:$E$60),$N20,Q$13))</f>
        <v>1</v>
      </c>
      <c r="R20" s="64">
        <f>IF(AND($K20=Calc.Top, R$10=Calc.Left),Player.Direction,INDEX(CHOOSE(INDEX(MazeDef,$L20,R$11),Primitives!$C$2:$E$4,Primitives!$C$6:$E$8,Primitives!$C$10:$E$12,Primitives!$C$14:$E$16,Primitives!$C$18:$E$20,Primitives!$C$22:$E$24,Primitives!$C$26:$E$28,Primitives!$C$30:$E$32,Primitives!$C$34:$E$36,Primitives!$C$38:$E$40,Primitives!$C$42:$E$44,Primitives!$C$46:$E$48,Primitives!$C$50:$E$52,Primitives!$C$54:$E$56,Primitives!$C$58:$E$60),$N20,R$13))</f>
        <v>1</v>
      </c>
      <c r="S20" s="64">
        <f>IF(AND($K20=Calc.Top, S$10=Calc.Left),Player.Direction,INDEX(CHOOSE(INDEX(MazeDef,$L20,S$11),Primitives!$C$2:$E$4,Primitives!$C$6:$E$8,Primitives!$C$10:$E$12,Primitives!$C$14:$E$16,Primitives!$C$18:$E$20,Primitives!$C$22:$E$24,Primitives!$C$26:$E$28,Primitives!$C$30:$E$32,Primitives!$C$34:$E$36,Primitives!$C$38:$E$40,Primitives!$C$42:$E$44,Primitives!$C$46:$E$48,Primitives!$C$50:$E$52,Primitives!$C$54:$E$56,Primitives!$C$58:$E$60),$N20,S$13))</f>
        <v>1</v>
      </c>
      <c r="T20" s="64">
        <f>IF(AND($K20=Calc.Top, T$10=Calc.Left),Player.Direction,INDEX(CHOOSE(INDEX(MazeDef,$L20,T$11),Primitives!$C$2:$E$4,Primitives!$C$6:$E$8,Primitives!$C$10:$E$12,Primitives!$C$14:$E$16,Primitives!$C$18:$E$20,Primitives!$C$22:$E$24,Primitives!$C$26:$E$28,Primitives!$C$30:$E$32,Primitives!$C$34:$E$36,Primitives!$C$38:$E$40,Primitives!$C$42:$E$44,Primitives!$C$46:$E$48,Primitives!$C$50:$E$52,Primitives!$C$54:$E$56,Primitives!$C$58:$E$60),$N20,T$13))</f>
        <v>1</v>
      </c>
      <c r="U20" s="64">
        <f>IF(AND($K20=Calc.Top, U$10=Calc.Left),Player.Direction,INDEX(CHOOSE(INDEX(MazeDef,$L20,U$11),Primitives!$C$2:$E$4,Primitives!$C$6:$E$8,Primitives!$C$10:$E$12,Primitives!$C$14:$E$16,Primitives!$C$18:$E$20,Primitives!$C$22:$E$24,Primitives!$C$26:$E$28,Primitives!$C$30:$E$32,Primitives!$C$34:$E$36,Primitives!$C$38:$E$40,Primitives!$C$42:$E$44,Primitives!$C$46:$E$48,Primitives!$C$50:$E$52,Primitives!$C$54:$E$56,Primitives!$C$58:$E$60),$N20,U$13))</f>
        <v>1</v>
      </c>
      <c r="V20" s="64">
        <f>IF(AND($K20=Calc.Top, V$10=Calc.Left),Player.Direction,INDEX(CHOOSE(INDEX(MazeDef,$L20,V$11),Primitives!$C$2:$E$4,Primitives!$C$6:$E$8,Primitives!$C$10:$E$12,Primitives!$C$14:$E$16,Primitives!$C$18:$E$20,Primitives!$C$22:$E$24,Primitives!$C$26:$E$28,Primitives!$C$30:$E$32,Primitives!$C$34:$E$36,Primitives!$C$38:$E$40,Primitives!$C$42:$E$44,Primitives!$C$46:$E$48,Primitives!$C$50:$E$52,Primitives!$C$54:$E$56,Primitives!$C$58:$E$60),$N20,V$13))</f>
        <v>1</v>
      </c>
      <c r="W20" s="64">
        <f>IF(AND($K20=Calc.Top, W$10=Calc.Left),Player.Direction,INDEX(CHOOSE(INDEX(MazeDef,$L20,W$11),Primitives!$C$2:$E$4,Primitives!$C$6:$E$8,Primitives!$C$10:$E$12,Primitives!$C$14:$E$16,Primitives!$C$18:$E$20,Primitives!$C$22:$E$24,Primitives!$C$26:$E$28,Primitives!$C$30:$E$32,Primitives!$C$34:$E$36,Primitives!$C$38:$E$40,Primitives!$C$42:$E$44,Primitives!$C$46:$E$48,Primitives!$C$50:$E$52,Primitives!$C$54:$E$56,Primitives!$C$58:$E$60),$N20,W$13))</f>
        <v>1</v>
      </c>
      <c r="X20" s="64">
        <f>IF(AND($K20=Calc.Top, X$10=Calc.Left),Player.Direction,INDEX(CHOOSE(INDEX(MazeDef,$L20,X$11),Primitives!$C$2:$E$4,Primitives!$C$6:$E$8,Primitives!$C$10:$E$12,Primitives!$C$14:$E$16,Primitives!$C$18:$E$20,Primitives!$C$22:$E$24,Primitives!$C$26:$E$28,Primitives!$C$30:$E$32,Primitives!$C$34:$E$36,Primitives!$C$38:$E$40,Primitives!$C$42:$E$44,Primitives!$C$46:$E$48,Primitives!$C$50:$E$52,Primitives!$C$54:$E$56,Primitives!$C$58:$E$60),$N20,X$13))</f>
        <v>1</v>
      </c>
      <c r="Y20" s="64">
        <f>IF(AND($K20=Calc.Top, Y$10=Calc.Left),Player.Direction,INDEX(CHOOSE(INDEX(MazeDef,$L20,Y$11),Primitives!$C$2:$E$4,Primitives!$C$6:$E$8,Primitives!$C$10:$E$12,Primitives!$C$14:$E$16,Primitives!$C$18:$E$20,Primitives!$C$22:$E$24,Primitives!$C$26:$E$28,Primitives!$C$30:$E$32,Primitives!$C$34:$E$36,Primitives!$C$38:$E$40,Primitives!$C$42:$E$44,Primitives!$C$46:$E$48,Primitives!$C$50:$E$52,Primitives!$C$54:$E$56,Primitives!$C$58:$E$60),$N20,Y$13))</f>
        <v>0</v>
      </c>
      <c r="Z20" s="64">
        <f>IF(AND($K20=Calc.Top, Z$10=Calc.Left),Player.Direction,INDEX(CHOOSE(INDEX(MazeDef,$L20,Z$11),Primitives!$C$2:$E$4,Primitives!$C$6:$E$8,Primitives!$C$10:$E$12,Primitives!$C$14:$E$16,Primitives!$C$18:$E$20,Primitives!$C$22:$E$24,Primitives!$C$26:$E$28,Primitives!$C$30:$E$32,Primitives!$C$34:$E$36,Primitives!$C$38:$E$40,Primitives!$C$42:$E$44,Primitives!$C$46:$E$48,Primitives!$C$50:$E$52,Primitives!$C$54:$E$56,Primitives!$C$58:$E$60),$N20,Z$13))</f>
        <v>1</v>
      </c>
      <c r="AA20" s="64">
        <f>IF(AND($K20=Calc.Top, AA$10=Calc.Left),Player.Direction,INDEX(CHOOSE(INDEX(MazeDef,$L20,AA$11),Primitives!$C$2:$E$4,Primitives!$C$6:$E$8,Primitives!$C$10:$E$12,Primitives!$C$14:$E$16,Primitives!$C$18:$E$20,Primitives!$C$22:$E$24,Primitives!$C$26:$E$28,Primitives!$C$30:$E$32,Primitives!$C$34:$E$36,Primitives!$C$38:$E$40,Primitives!$C$42:$E$44,Primitives!$C$46:$E$48,Primitives!$C$50:$E$52,Primitives!$C$54:$E$56,Primitives!$C$58:$E$60),$N20,AA$13))</f>
        <v>1</v>
      </c>
      <c r="AB20" s="64">
        <f>IF(AND($K20=Calc.Top, AB$10=Calc.Left),Player.Direction,INDEX(CHOOSE(INDEX(MazeDef,$L20,AB$11),Primitives!$C$2:$E$4,Primitives!$C$6:$E$8,Primitives!$C$10:$E$12,Primitives!$C$14:$E$16,Primitives!$C$18:$E$20,Primitives!$C$22:$E$24,Primitives!$C$26:$E$28,Primitives!$C$30:$E$32,Primitives!$C$34:$E$36,Primitives!$C$38:$E$40,Primitives!$C$42:$E$44,Primitives!$C$46:$E$48,Primitives!$C$50:$E$52,Primitives!$C$54:$E$56,Primitives!$C$58:$E$60),$N20,AB$13))</f>
        <v>1</v>
      </c>
      <c r="AC20" s="64">
        <f>IF(AND($K20=Calc.Top, AC$10=Calc.Left),Player.Direction,INDEX(CHOOSE(INDEX(MazeDef,$L20,AC$11),Primitives!$C$2:$E$4,Primitives!$C$6:$E$8,Primitives!$C$10:$E$12,Primitives!$C$14:$E$16,Primitives!$C$18:$E$20,Primitives!$C$22:$E$24,Primitives!$C$26:$E$28,Primitives!$C$30:$E$32,Primitives!$C$34:$E$36,Primitives!$C$38:$E$40,Primitives!$C$42:$E$44,Primitives!$C$46:$E$48,Primitives!$C$50:$E$52,Primitives!$C$54:$E$56,Primitives!$C$58:$E$60),$N20,AC$13))</f>
        <v>1</v>
      </c>
      <c r="AD20" s="64">
        <f>IF(AND($K20=Calc.Top, AD$10=Calc.Left),Player.Direction,INDEX(CHOOSE(INDEX(MazeDef,$L20,AD$11),Primitives!$C$2:$E$4,Primitives!$C$6:$E$8,Primitives!$C$10:$E$12,Primitives!$C$14:$E$16,Primitives!$C$18:$E$20,Primitives!$C$22:$E$24,Primitives!$C$26:$E$28,Primitives!$C$30:$E$32,Primitives!$C$34:$E$36,Primitives!$C$38:$E$40,Primitives!$C$42:$E$44,Primitives!$C$46:$E$48,Primitives!$C$50:$E$52,Primitives!$C$54:$E$56,Primitives!$C$58:$E$60),$N20,AD$13))</f>
        <v>1</v>
      </c>
      <c r="AE20" s="64">
        <f>IF(AND($K20=Calc.Top, AE$10=Calc.Left),Player.Direction,INDEX(CHOOSE(INDEX(MazeDef,$L20,AE$11),Primitives!$C$2:$E$4,Primitives!$C$6:$E$8,Primitives!$C$10:$E$12,Primitives!$C$14:$E$16,Primitives!$C$18:$E$20,Primitives!$C$22:$E$24,Primitives!$C$26:$E$28,Primitives!$C$30:$E$32,Primitives!$C$34:$E$36,Primitives!$C$38:$E$40,Primitives!$C$42:$E$44,Primitives!$C$46:$E$48,Primitives!$C$50:$E$52,Primitives!$C$54:$E$56,Primitives!$C$58:$E$60),$N20,AE$13))</f>
        <v>0</v>
      </c>
      <c r="AF20" s="64">
        <f>IF(AND($K20=Calc.Top, AF$10=Calc.Left),Player.Direction,INDEX(CHOOSE(INDEX(MazeDef,$L20,AF$11),Primitives!$C$2:$E$4,Primitives!$C$6:$E$8,Primitives!$C$10:$E$12,Primitives!$C$14:$E$16,Primitives!$C$18:$E$20,Primitives!$C$22:$E$24,Primitives!$C$26:$E$28,Primitives!$C$30:$E$32,Primitives!$C$34:$E$36,Primitives!$C$38:$E$40,Primitives!$C$42:$E$44,Primitives!$C$46:$E$48,Primitives!$C$50:$E$52,Primitives!$C$54:$E$56,Primitives!$C$58:$E$60),$N20,AF$13))</f>
        <v>1</v>
      </c>
      <c r="AG20" s="64">
        <f>IF(AND($K20=Calc.Top, AG$10=Calc.Left),Player.Direction,INDEX(CHOOSE(INDEX(MazeDef,$L20,AG$11),Primitives!$C$2:$E$4,Primitives!$C$6:$E$8,Primitives!$C$10:$E$12,Primitives!$C$14:$E$16,Primitives!$C$18:$E$20,Primitives!$C$22:$E$24,Primitives!$C$26:$E$28,Primitives!$C$30:$E$32,Primitives!$C$34:$E$36,Primitives!$C$38:$E$40,Primitives!$C$42:$E$44,Primitives!$C$46:$E$48,Primitives!$C$50:$E$52,Primitives!$C$54:$E$56,Primitives!$C$58:$E$60),$N20,AG$13))</f>
        <v>1</v>
      </c>
      <c r="AH20" s="64">
        <f>IF(AND($K20=Calc.Top, AH$10=Calc.Left),Player.Direction,INDEX(CHOOSE(INDEX(MazeDef,$L20,AH$11),Primitives!$C$2:$E$4,Primitives!$C$6:$E$8,Primitives!$C$10:$E$12,Primitives!$C$14:$E$16,Primitives!$C$18:$E$20,Primitives!$C$22:$E$24,Primitives!$C$26:$E$28,Primitives!$C$30:$E$32,Primitives!$C$34:$E$36,Primitives!$C$38:$E$40,Primitives!$C$42:$E$44,Primitives!$C$46:$E$48,Primitives!$C$50:$E$52,Primitives!$C$54:$E$56,Primitives!$C$58:$E$60),$N20,AH$13))</f>
        <v>0</v>
      </c>
      <c r="AI20" s="64">
        <f>IF(AND($K20=Calc.Top, AI$10=Calc.Left),Player.Direction,INDEX(CHOOSE(INDEX(MazeDef,$L20,AI$11),Primitives!$C$2:$E$4,Primitives!$C$6:$E$8,Primitives!$C$10:$E$12,Primitives!$C$14:$E$16,Primitives!$C$18:$E$20,Primitives!$C$22:$E$24,Primitives!$C$26:$E$28,Primitives!$C$30:$E$32,Primitives!$C$34:$E$36,Primitives!$C$38:$E$40,Primitives!$C$42:$E$44,Primitives!$C$46:$E$48,Primitives!$C$50:$E$52,Primitives!$C$54:$E$56,Primitives!$C$58:$E$60),$N20,AI$13))</f>
        <v>1</v>
      </c>
      <c r="AJ20" s="64">
        <f>IF(AND($K20=Calc.Top, AJ$10=Calc.Left),Player.Direction,INDEX(CHOOSE(INDEX(MazeDef,$L20,AJ$11),Primitives!$C$2:$E$4,Primitives!$C$6:$E$8,Primitives!$C$10:$E$12,Primitives!$C$14:$E$16,Primitives!$C$18:$E$20,Primitives!$C$22:$E$24,Primitives!$C$26:$E$28,Primitives!$C$30:$E$32,Primitives!$C$34:$E$36,Primitives!$C$38:$E$40,Primitives!$C$42:$E$44,Primitives!$C$46:$E$48,Primitives!$C$50:$E$52,Primitives!$C$54:$E$56,Primitives!$C$58:$E$60),$N20,AJ$13))</f>
        <v>1</v>
      </c>
      <c r="AK20" s="64">
        <f>IF(AND($K20=Calc.Top, AK$10=Calc.Left),Player.Direction,INDEX(CHOOSE(INDEX(MazeDef,$L20,AK$11),Primitives!$C$2:$E$4,Primitives!$C$6:$E$8,Primitives!$C$10:$E$12,Primitives!$C$14:$E$16,Primitives!$C$18:$E$20,Primitives!$C$22:$E$24,Primitives!$C$26:$E$28,Primitives!$C$30:$E$32,Primitives!$C$34:$E$36,Primitives!$C$38:$E$40,Primitives!$C$42:$E$44,Primitives!$C$46:$E$48,Primitives!$C$50:$E$52,Primitives!$C$54:$E$56,Primitives!$C$58:$E$60),$N20,AK$13))</f>
        <v>0</v>
      </c>
      <c r="AL20" s="64">
        <f>IF(AND($K20=Calc.Top, AL$10=Calc.Left),Player.Direction,INDEX(CHOOSE(INDEX(MazeDef,$L20,AL$11),Primitives!$C$2:$E$4,Primitives!$C$6:$E$8,Primitives!$C$10:$E$12,Primitives!$C$14:$E$16,Primitives!$C$18:$E$20,Primitives!$C$22:$E$24,Primitives!$C$26:$E$28,Primitives!$C$30:$E$32,Primitives!$C$34:$E$36,Primitives!$C$38:$E$40,Primitives!$C$42:$E$44,Primitives!$C$46:$E$48,Primitives!$C$50:$E$52,Primitives!$C$54:$E$56,Primitives!$C$58:$E$60),$N20,AL$13))</f>
        <v>1</v>
      </c>
      <c r="AM20" s="64">
        <f>IF(AND($K20=Calc.Top, AM$10=Calc.Left),Player.Direction,INDEX(CHOOSE(INDEX(MazeDef,$L20,AM$11),Primitives!$C$2:$E$4,Primitives!$C$6:$E$8,Primitives!$C$10:$E$12,Primitives!$C$14:$E$16,Primitives!$C$18:$E$20,Primitives!$C$22:$E$24,Primitives!$C$26:$E$28,Primitives!$C$30:$E$32,Primitives!$C$34:$E$36,Primitives!$C$38:$E$40,Primitives!$C$42:$E$44,Primitives!$C$46:$E$48,Primitives!$C$50:$E$52,Primitives!$C$54:$E$56,Primitives!$C$58:$E$60),$N20,AM$13))</f>
        <v>1</v>
      </c>
      <c r="AN20" s="64">
        <f>IF(AND($K20=Calc.Top, AN$10=Calc.Left),Player.Direction,INDEX(CHOOSE(INDEX(MazeDef,$L20,AN$11),Primitives!$C$2:$E$4,Primitives!$C$6:$E$8,Primitives!$C$10:$E$12,Primitives!$C$14:$E$16,Primitives!$C$18:$E$20,Primitives!$C$22:$E$24,Primitives!$C$26:$E$28,Primitives!$C$30:$E$32,Primitives!$C$34:$E$36,Primitives!$C$38:$E$40,Primitives!$C$42:$E$44,Primitives!$C$46:$E$48,Primitives!$C$50:$E$52,Primitives!$C$54:$E$56,Primitives!$C$58:$E$60),$N20,AN$13))</f>
        <v>0</v>
      </c>
      <c r="AO20" s="64">
        <f>IF(AND($K20=Calc.Top, AO$10=Calc.Left),Player.Direction,INDEX(CHOOSE(INDEX(MazeDef,$L20,AO$11),Primitives!$C$2:$E$4,Primitives!$C$6:$E$8,Primitives!$C$10:$E$12,Primitives!$C$14:$E$16,Primitives!$C$18:$E$20,Primitives!$C$22:$E$24,Primitives!$C$26:$E$28,Primitives!$C$30:$E$32,Primitives!$C$34:$E$36,Primitives!$C$38:$E$40,Primitives!$C$42:$E$44,Primitives!$C$46:$E$48,Primitives!$C$50:$E$52,Primitives!$C$54:$E$56,Primitives!$C$58:$E$60),$N20,AO$13))</f>
        <v>1</v>
      </c>
      <c r="AP20" s="64">
        <f>IF(AND($K20=Calc.Top, AP$10=Calc.Left),Player.Direction,INDEX(CHOOSE(INDEX(MazeDef,$L20,AP$11),Primitives!$C$2:$E$4,Primitives!$C$6:$E$8,Primitives!$C$10:$E$12,Primitives!$C$14:$E$16,Primitives!$C$18:$E$20,Primitives!$C$22:$E$24,Primitives!$C$26:$E$28,Primitives!$C$30:$E$32,Primitives!$C$34:$E$36,Primitives!$C$38:$E$40,Primitives!$C$42:$E$44,Primitives!$C$46:$E$48,Primitives!$C$50:$E$52,Primitives!$C$54:$E$56,Primitives!$C$58:$E$60),$N20,AP$13))</f>
        <v>1</v>
      </c>
      <c r="AQ20" s="64">
        <f>IF(AND($K20=Calc.Top, AQ$10=Calc.Left),Player.Direction,INDEX(CHOOSE(INDEX(MazeDef,$L20,AQ$11),Primitives!$C$2:$E$4,Primitives!$C$6:$E$8,Primitives!$C$10:$E$12,Primitives!$C$14:$E$16,Primitives!$C$18:$E$20,Primitives!$C$22:$E$24,Primitives!$C$26:$E$28,Primitives!$C$30:$E$32,Primitives!$C$34:$E$36,Primitives!$C$38:$E$40,Primitives!$C$42:$E$44,Primitives!$C$46:$E$48,Primitives!$C$50:$E$52,Primitives!$C$54:$E$56,Primitives!$C$58:$E$60),$N20,AQ$13))</f>
        <v>1</v>
      </c>
      <c r="AR20" s="64">
        <f>IF(AND($K20=Calc.Top, AR$10=Calc.Left),Player.Direction,INDEX(CHOOSE(INDEX(MazeDef,$L20,AR$11),Primitives!$C$2:$E$4,Primitives!$C$6:$E$8,Primitives!$C$10:$E$12,Primitives!$C$14:$E$16,Primitives!$C$18:$E$20,Primitives!$C$22:$E$24,Primitives!$C$26:$E$28,Primitives!$C$30:$E$32,Primitives!$C$34:$E$36,Primitives!$C$38:$E$40,Primitives!$C$42:$E$44,Primitives!$C$46:$E$48,Primitives!$C$50:$E$52,Primitives!$C$54:$E$56,Primitives!$C$58:$E$60),$N20,AR$13))</f>
        <v>1</v>
      </c>
      <c r="AS20" s="2"/>
      <c r="AT20" s="2"/>
      <c r="AU20" s="2"/>
      <c r="AV20" s="2"/>
    </row>
    <row r="21" spans="1:48" ht="9" customHeight="1" x14ac:dyDescent="0.25">
      <c r="A21" s="5"/>
      <c r="B21" s="21"/>
      <c r="C21" s="21"/>
      <c r="D21" s="21"/>
      <c r="E21" s="2"/>
      <c r="F21" s="2"/>
      <c r="G21" s="2"/>
      <c r="H21" s="2"/>
      <c r="I21" s="2"/>
      <c r="J21" s="2"/>
      <c r="K21" s="2">
        <v>8</v>
      </c>
      <c r="L21" s="2">
        <v>3</v>
      </c>
      <c r="M21" s="68"/>
      <c r="N21" s="8">
        <v>2</v>
      </c>
      <c r="O21" s="64">
        <f>IF(AND($K21=Calc.Top, O$10=Calc.Left),Player.Direction,INDEX(CHOOSE(INDEX(MazeDef,$L21,O$11),Primitives!$C$2:$E$4,Primitives!$C$6:$E$8,Primitives!$C$10:$E$12,Primitives!$C$14:$E$16,Primitives!$C$18:$E$20,Primitives!$C$22:$E$24,Primitives!$C$26:$E$28,Primitives!$C$30:$E$32,Primitives!$C$34:$E$36,Primitives!$C$38:$E$40,Primitives!$C$42:$E$44,Primitives!$C$46:$E$48,Primitives!$C$50:$E$52,Primitives!$C$54:$E$56,Primitives!$C$58:$E$60),$N21,O$13))</f>
        <v>1</v>
      </c>
      <c r="P21" s="64">
        <f>IF(AND($K21=Calc.Top, P$10=Calc.Left),Player.Direction,INDEX(CHOOSE(INDEX(MazeDef,$L21,P$11),Primitives!$C$2:$E$4,Primitives!$C$6:$E$8,Primitives!$C$10:$E$12,Primitives!$C$14:$E$16,Primitives!$C$18:$E$20,Primitives!$C$22:$E$24,Primitives!$C$26:$E$28,Primitives!$C$30:$E$32,Primitives!$C$34:$E$36,Primitives!$C$38:$E$40,Primitives!$C$42:$E$44,Primitives!$C$46:$E$48,Primitives!$C$50:$E$52,Primitives!$C$54:$E$56,Primitives!$C$58:$E$60),$N21,P$13))</f>
        <v>0</v>
      </c>
      <c r="Q21" s="64">
        <f>IF(AND($K21=Calc.Top, Q$10=Calc.Left),Player.Direction,INDEX(CHOOSE(INDEX(MazeDef,$L21,Q$11),Primitives!$C$2:$E$4,Primitives!$C$6:$E$8,Primitives!$C$10:$E$12,Primitives!$C$14:$E$16,Primitives!$C$18:$E$20,Primitives!$C$22:$E$24,Primitives!$C$26:$E$28,Primitives!$C$30:$E$32,Primitives!$C$34:$E$36,Primitives!$C$38:$E$40,Primitives!$C$42:$E$44,Primitives!$C$46:$E$48,Primitives!$C$50:$E$52,Primitives!$C$54:$E$56,Primitives!$C$58:$E$60),$N21,Q$13))</f>
        <v>0</v>
      </c>
      <c r="R21" s="64">
        <f>IF(AND($K21=Calc.Top, R$10=Calc.Left),Player.Direction,INDEX(CHOOSE(INDEX(MazeDef,$L21,R$11),Primitives!$C$2:$E$4,Primitives!$C$6:$E$8,Primitives!$C$10:$E$12,Primitives!$C$14:$E$16,Primitives!$C$18:$E$20,Primitives!$C$22:$E$24,Primitives!$C$26:$E$28,Primitives!$C$30:$E$32,Primitives!$C$34:$E$36,Primitives!$C$38:$E$40,Primitives!$C$42:$E$44,Primitives!$C$46:$E$48,Primitives!$C$50:$E$52,Primitives!$C$54:$E$56,Primitives!$C$58:$E$60),$N21,R$13))</f>
        <v>0</v>
      </c>
      <c r="S21" s="64">
        <f>IF(AND($K21=Calc.Top, S$10=Calc.Left),Player.Direction,INDEX(CHOOSE(INDEX(MazeDef,$L21,S$11),Primitives!$C$2:$E$4,Primitives!$C$6:$E$8,Primitives!$C$10:$E$12,Primitives!$C$14:$E$16,Primitives!$C$18:$E$20,Primitives!$C$22:$E$24,Primitives!$C$26:$E$28,Primitives!$C$30:$E$32,Primitives!$C$34:$E$36,Primitives!$C$38:$E$40,Primitives!$C$42:$E$44,Primitives!$C$46:$E$48,Primitives!$C$50:$E$52,Primitives!$C$54:$E$56,Primitives!$C$58:$E$60),$N21,S$13))</f>
        <v>0</v>
      </c>
      <c r="T21" s="64">
        <f>IF(AND($K21=Calc.Top, T$10=Calc.Left),Player.Direction,INDEX(CHOOSE(INDEX(MazeDef,$L21,T$11),Primitives!$C$2:$E$4,Primitives!$C$6:$E$8,Primitives!$C$10:$E$12,Primitives!$C$14:$E$16,Primitives!$C$18:$E$20,Primitives!$C$22:$E$24,Primitives!$C$26:$E$28,Primitives!$C$30:$E$32,Primitives!$C$34:$E$36,Primitives!$C$38:$E$40,Primitives!$C$42:$E$44,Primitives!$C$46:$E$48,Primitives!$C$50:$E$52,Primitives!$C$54:$E$56,Primitives!$C$58:$E$60),$N21,T$13))</f>
        <v>0</v>
      </c>
      <c r="U21" s="64">
        <f>IF(AND($K21=Calc.Top, U$10=Calc.Left),Player.Direction,INDEX(CHOOSE(INDEX(MazeDef,$L21,U$11),Primitives!$C$2:$E$4,Primitives!$C$6:$E$8,Primitives!$C$10:$E$12,Primitives!$C$14:$E$16,Primitives!$C$18:$E$20,Primitives!$C$22:$E$24,Primitives!$C$26:$E$28,Primitives!$C$30:$E$32,Primitives!$C$34:$E$36,Primitives!$C$38:$E$40,Primitives!$C$42:$E$44,Primitives!$C$46:$E$48,Primitives!$C$50:$E$52,Primitives!$C$54:$E$56,Primitives!$C$58:$E$60),$N21,U$13))</f>
        <v>0</v>
      </c>
      <c r="V21" s="64">
        <f>IF(AND($K21=Calc.Top, V$10=Calc.Left),Player.Direction,INDEX(CHOOSE(INDEX(MazeDef,$L21,V$11),Primitives!$C$2:$E$4,Primitives!$C$6:$E$8,Primitives!$C$10:$E$12,Primitives!$C$14:$E$16,Primitives!$C$18:$E$20,Primitives!$C$22:$E$24,Primitives!$C$26:$E$28,Primitives!$C$30:$E$32,Primitives!$C$34:$E$36,Primitives!$C$38:$E$40,Primitives!$C$42:$E$44,Primitives!$C$46:$E$48,Primitives!$C$50:$E$52,Primitives!$C$54:$E$56,Primitives!$C$58:$E$60),$N21,V$13))</f>
        <v>0</v>
      </c>
      <c r="W21" s="64">
        <f>IF(AND($K21=Calc.Top, W$10=Calc.Left),Player.Direction,INDEX(CHOOSE(INDEX(MazeDef,$L21,W$11),Primitives!$C$2:$E$4,Primitives!$C$6:$E$8,Primitives!$C$10:$E$12,Primitives!$C$14:$E$16,Primitives!$C$18:$E$20,Primitives!$C$22:$E$24,Primitives!$C$26:$E$28,Primitives!$C$30:$E$32,Primitives!$C$34:$E$36,Primitives!$C$38:$E$40,Primitives!$C$42:$E$44,Primitives!$C$46:$E$48,Primitives!$C$50:$E$52,Primitives!$C$54:$E$56,Primitives!$C$58:$E$60),$N21,W$13))</f>
        <v>0</v>
      </c>
      <c r="X21" s="64">
        <f>IF(AND($K21=Calc.Top, X$10=Calc.Left),Player.Direction,INDEX(CHOOSE(INDEX(MazeDef,$L21,X$11),Primitives!$C$2:$E$4,Primitives!$C$6:$E$8,Primitives!$C$10:$E$12,Primitives!$C$14:$E$16,Primitives!$C$18:$E$20,Primitives!$C$22:$E$24,Primitives!$C$26:$E$28,Primitives!$C$30:$E$32,Primitives!$C$34:$E$36,Primitives!$C$38:$E$40,Primitives!$C$42:$E$44,Primitives!$C$46:$E$48,Primitives!$C$50:$E$52,Primitives!$C$54:$E$56,Primitives!$C$58:$E$60),$N21,X$13))</f>
        <v>0</v>
      </c>
      <c r="Y21" s="64">
        <f>IF(AND($K21=Calc.Top, Y$10=Calc.Left),Player.Direction,INDEX(CHOOSE(INDEX(MazeDef,$L21,Y$11),Primitives!$C$2:$E$4,Primitives!$C$6:$E$8,Primitives!$C$10:$E$12,Primitives!$C$14:$E$16,Primitives!$C$18:$E$20,Primitives!$C$22:$E$24,Primitives!$C$26:$E$28,Primitives!$C$30:$E$32,Primitives!$C$34:$E$36,Primitives!$C$38:$E$40,Primitives!$C$42:$E$44,Primitives!$C$46:$E$48,Primitives!$C$50:$E$52,Primitives!$C$54:$E$56,Primitives!$C$58:$E$60),$N21,Y$13))</f>
        <v>0</v>
      </c>
      <c r="Z21" s="64">
        <f>IF(AND($K21=Calc.Top, Z$10=Calc.Left),Player.Direction,INDEX(CHOOSE(INDEX(MazeDef,$L21,Z$11),Primitives!$C$2:$E$4,Primitives!$C$6:$E$8,Primitives!$C$10:$E$12,Primitives!$C$14:$E$16,Primitives!$C$18:$E$20,Primitives!$C$22:$E$24,Primitives!$C$26:$E$28,Primitives!$C$30:$E$32,Primitives!$C$34:$E$36,Primitives!$C$38:$E$40,Primitives!$C$42:$E$44,Primitives!$C$46:$E$48,Primitives!$C$50:$E$52,Primitives!$C$54:$E$56,Primitives!$C$58:$E$60),$N21,Z$13))</f>
        <v>0</v>
      </c>
      <c r="AA21" s="64">
        <f>IF(AND($K21=Calc.Top, AA$10=Calc.Left),Player.Direction,INDEX(CHOOSE(INDEX(MazeDef,$L21,AA$11),Primitives!$C$2:$E$4,Primitives!$C$6:$E$8,Primitives!$C$10:$E$12,Primitives!$C$14:$E$16,Primitives!$C$18:$E$20,Primitives!$C$22:$E$24,Primitives!$C$26:$E$28,Primitives!$C$30:$E$32,Primitives!$C$34:$E$36,Primitives!$C$38:$E$40,Primitives!$C$42:$E$44,Primitives!$C$46:$E$48,Primitives!$C$50:$E$52,Primitives!$C$54:$E$56,Primitives!$C$58:$E$60),$N21,AA$13))</f>
        <v>0</v>
      </c>
      <c r="AB21" s="64">
        <f>IF(AND($K21=Calc.Top, AB$10=Calc.Left),Player.Direction,INDEX(CHOOSE(INDEX(MazeDef,$L21,AB$11),Primitives!$C$2:$E$4,Primitives!$C$6:$E$8,Primitives!$C$10:$E$12,Primitives!$C$14:$E$16,Primitives!$C$18:$E$20,Primitives!$C$22:$E$24,Primitives!$C$26:$E$28,Primitives!$C$30:$E$32,Primitives!$C$34:$E$36,Primitives!$C$38:$E$40,Primitives!$C$42:$E$44,Primitives!$C$46:$E$48,Primitives!$C$50:$E$52,Primitives!$C$54:$E$56,Primitives!$C$58:$E$60),$N21,AB$13))</f>
        <v>0</v>
      </c>
      <c r="AC21" s="64">
        <f>IF(AND($K21=Calc.Top, AC$10=Calc.Left),Player.Direction,INDEX(CHOOSE(INDEX(MazeDef,$L21,AC$11),Primitives!$C$2:$E$4,Primitives!$C$6:$E$8,Primitives!$C$10:$E$12,Primitives!$C$14:$E$16,Primitives!$C$18:$E$20,Primitives!$C$22:$E$24,Primitives!$C$26:$E$28,Primitives!$C$30:$E$32,Primitives!$C$34:$E$36,Primitives!$C$38:$E$40,Primitives!$C$42:$E$44,Primitives!$C$46:$E$48,Primitives!$C$50:$E$52,Primitives!$C$54:$E$56,Primitives!$C$58:$E$60),$N21,AC$13))</f>
        <v>1</v>
      </c>
      <c r="AD21" s="64">
        <f>IF(AND($K21=Calc.Top, AD$10=Calc.Left),Player.Direction,INDEX(CHOOSE(INDEX(MazeDef,$L21,AD$11),Primitives!$C$2:$E$4,Primitives!$C$6:$E$8,Primitives!$C$10:$E$12,Primitives!$C$14:$E$16,Primitives!$C$18:$E$20,Primitives!$C$22:$E$24,Primitives!$C$26:$E$28,Primitives!$C$30:$E$32,Primitives!$C$34:$E$36,Primitives!$C$38:$E$40,Primitives!$C$42:$E$44,Primitives!$C$46:$E$48,Primitives!$C$50:$E$52,Primitives!$C$54:$E$56,Primitives!$C$58:$E$60),$N21,AD$13))</f>
        <v>1</v>
      </c>
      <c r="AE21" s="64">
        <f>IF(AND($K21=Calc.Top, AE$10=Calc.Left),Player.Direction,INDEX(CHOOSE(INDEX(MazeDef,$L21,AE$11),Primitives!$C$2:$E$4,Primitives!$C$6:$E$8,Primitives!$C$10:$E$12,Primitives!$C$14:$E$16,Primitives!$C$18:$E$20,Primitives!$C$22:$E$24,Primitives!$C$26:$E$28,Primitives!$C$30:$E$32,Primitives!$C$34:$E$36,Primitives!$C$38:$E$40,Primitives!$C$42:$E$44,Primitives!$C$46:$E$48,Primitives!$C$50:$E$52,Primitives!$C$54:$E$56,Primitives!$C$58:$E$60),$N21,AE$13))</f>
        <v>0</v>
      </c>
      <c r="AF21" s="64">
        <f>IF(AND($K21=Calc.Top, AF$10=Calc.Left),Player.Direction,INDEX(CHOOSE(INDEX(MazeDef,$L21,AF$11),Primitives!$C$2:$E$4,Primitives!$C$6:$E$8,Primitives!$C$10:$E$12,Primitives!$C$14:$E$16,Primitives!$C$18:$E$20,Primitives!$C$22:$E$24,Primitives!$C$26:$E$28,Primitives!$C$30:$E$32,Primitives!$C$34:$E$36,Primitives!$C$38:$E$40,Primitives!$C$42:$E$44,Primitives!$C$46:$E$48,Primitives!$C$50:$E$52,Primitives!$C$54:$E$56,Primitives!$C$58:$E$60),$N21,AF$13))</f>
        <v>0</v>
      </c>
      <c r="AG21" s="64">
        <f>IF(AND($K21=Calc.Top, AG$10=Calc.Left),Player.Direction,INDEX(CHOOSE(INDEX(MazeDef,$L21,AG$11),Primitives!$C$2:$E$4,Primitives!$C$6:$E$8,Primitives!$C$10:$E$12,Primitives!$C$14:$E$16,Primitives!$C$18:$E$20,Primitives!$C$22:$E$24,Primitives!$C$26:$E$28,Primitives!$C$30:$E$32,Primitives!$C$34:$E$36,Primitives!$C$38:$E$40,Primitives!$C$42:$E$44,Primitives!$C$46:$E$48,Primitives!$C$50:$E$52,Primitives!$C$54:$E$56,Primitives!$C$58:$E$60),$N21,AG$13))</f>
        <v>0</v>
      </c>
      <c r="AH21" s="64">
        <f>IF(AND($K21=Calc.Top, AH$10=Calc.Left),Player.Direction,INDEX(CHOOSE(INDEX(MazeDef,$L21,AH$11),Primitives!$C$2:$E$4,Primitives!$C$6:$E$8,Primitives!$C$10:$E$12,Primitives!$C$14:$E$16,Primitives!$C$18:$E$20,Primitives!$C$22:$E$24,Primitives!$C$26:$E$28,Primitives!$C$30:$E$32,Primitives!$C$34:$E$36,Primitives!$C$38:$E$40,Primitives!$C$42:$E$44,Primitives!$C$46:$E$48,Primitives!$C$50:$E$52,Primitives!$C$54:$E$56,Primitives!$C$58:$E$60),$N21,AH$13))</f>
        <v>0</v>
      </c>
      <c r="AI21" s="64">
        <f>IF(AND($K21=Calc.Top, AI$10=Calc.Left),Player.Direction,INDEX(CHOOSE(INDEX(MazeDef,$L21,AI$11),Primitives!$C$2:$E$4,Primitives!$C$6:$E$8,Primitives!$C$10:$E$12,Primitives!$C$14:$E$16,Primitives!$C$18:$E$20,Primitives!$C$22:$E$24,Primitives!$C$26:$E$28,Primitives!$C$30:$E$32,Primitives!$C$34:$E$36,Primitives!$C$38:$E$40,Primitives!$C$42:$E$44,Primitives!$C$46:$E$48,Primitives!$C$50:$E$52,Primitives!$C$54:$E$56,Primitives!$C$58:$E$60),$N21,AI$13))</f>
        <v>1</v>
      </c>
      <c r="AJ21" s="64">
        <f>IF(AND($K21=Calc.Top, AJ$10=Calc.Left),Player.Direction,INDEX(CHOOSE(INDEX(MazeDef,$L21,AJ$11),Primitives!$C$2:$E$4,Primitives!$C$6:$E$8,Primitives!$C$10:$E$12,Primitives!$C$14:$E$16,Primitives!$C$18:$E$20,Primitives!$C$22:$E$24,Primitives!$C$26:$E$28,Primitives!$C$30:$E$32,Primitives!$C$34:$E$36,Primitives!$C$38:$E$40,Primitives!$C$42:$E$44,Primitives!$C$46:$E$48,Primitives!$C$50:$E$52,Primitives!$C$54:$E$56,Primitives!$C$58:$E$60),$N21,AJ$13))</f>
        <v>1</v>
      </c>
      <c r="AK21" s="64">
        <f>IF(AND($K21=Calc.Top, AK$10=Calc.Left),Player.Direction,INDEX(CHOOSE(INDEX(MazeDef,$L21,AK$11),Primitives!$C$2:$E$4,Primitives!$C$6:$E$8,Primitives!$C$10:$E$12,Primitives!$C$14:$E$16,Primitives!$C$18:$E$20,Primitives!$C$22:$E$24,Primitives!$C$26:$E$28,Primitives!$C$30:$E$32,Primitives!$C$34:$E$36,Primitives!$C$38:$E$40,Primitives!$C$42:$E$44,Primitives!$C$46:$E$48,Primitives!$C$50:$E$52,Primitives!$C$54:$E$56,Primitives!$C$58:$E$60),$N21,AK$13))</f>
        <v>0</v>
      </c>
      <c r="AL21" s="64">
        <f>IF(AND($K21=Calc.Top, AL$10=Calc.Left),Player.Direction,INDEX(CHOOSE(INDEX(MazeDef,$L21,AL$11),Primitives!$C$2:$E$4,Primitives!$C$6:$E$8,Primitives!$C$10:$E$12,Primitives!$C$14:$E$16,Primitives!$C$18:$E$20,Primitives!$C$22:$E$24,Primitives!$C$26:$E$28,Primitives!$C$30:$E$32,Primitives!$C$34:$E$36,Primitives!$C$38:$E$40,Primitives!$C$42:$E$44,Primitives!$C$46:$E$48,Primitives!$C$50:$E$52,Primitives!$C$54:$E$56,Primitives!$C$58:$E$60),$N21,AL$13))</f>
        <v>0</v>
      </c>
      <c r="AM21" s="64">
        <f>IF(AND($K21=Calc.Top, AM$10=Calc.Left),Player.Direction,INDEX(CHOOSE(INDEX(MazeDef,$L21,AM$11),Primitives!$C$2:$E$4,Primitives!$C$6:$E$8,Primitives!$C$10:$E$12,Primitives!$C$14:$E$16,Primitives!$C$18:$E$20,Primitives!$C$22:$E$24,Primitives!$C$26:$E$28,Primitives!$C$30:$E$32,Primitives!$C$34:$E$36,Primitives!$C$38:$E$40,Primitives!$C$42:$E$44,Primitives!$C$46:$E$48,Primitives!$C$50:$E$52,Primitives!$C$54:$E$56,Primitives!$C$58:$E$60),$N21,AM$13))</f>
        <v>0</v>
      </c>
      <c r="AN21" s="64">
        <f>IF(AND($K21=Calc.Top, AN$10=Calc.Left),Player.Direction,INDEX(CHOOSE(INDEX(MazeDef,$L21,AN$11),Primitives!$C$2:$E$4,Primitives!$C$6:$E$8,Primitives!$C$10:$E$12,Primitives!$C$14:$E$16,Primitives!$C$18:$E$20,Primitives!$C$22:$E$24,Primitives!$C$26:$E$28,Primitives!$C$30:$E$32,Primitives!$C$34:$E$36,Primitives!$C$38:$E$40,Primitives!$C$42:$E$44,Primitives!$C$46:$E$48,Primitives!$C$50:$E$52,Primitives!$C$54:$E$56,Primitives!$C$58:$E$60),$N21,AN$13))</f>
        <v>0</v>
      </c>
      <c r="AO21" s="64">
        <f>IF(AND($K21=Calc.Top, AO$10=Calc.Left),Player.Direction,INDEX(CHOOSE(INDEX(MazeDef,$L21,AO$11),Primitives!$C$2:$E$4,Primitives!$C$6:$E$8,Primitives!$C$10:$E$12,Primitives!$C$14:$E$16,Primitives!$C$18:$E$20,Primitives!$C$22:$E$24,Primitives!$C$26:$E$28,Primitives!$C$30:$E$32,Primitives!$C$34:$E$36,Primitives!$C$38:$E$40,Primitives!$C$42:$E$44,Primitives!$C$46:$E$48,Primitives!$C$50:$E$52,Primitives!$C$54:$E$56,Primitives!$C$58:$E$60),$N21,AO$13))</f>
        <v>0</v>
      </c>
      <c r="AP21" s="64">
        <f>IF(AND($K21=Calc.Top, AP$10=Calc.Left),Player.Direction,INDEX(CHOOSE(INDEX(MazeDef,$L21,AP$11),Primitives!$C$2:$E$4,Primitives!$C$6:$E$8,Primitives!$C$10:$E$12,Primitives!$C$14:$E$16,Primitives!$C$18:$E$20,Primitives!$C$22:$E$24,Primitives!$C$26:$E$28,Primitives!$C$30:$E$32,Primitives!$C$34:$E$36,Primitives!$C$38:$E$40,Primitives!$C$42:$E$44,Primitives!$C$46:$E$48,Primitives!$C$50:$E$52,Primitives!$C$54:$E$56,Primitives!$C$58:$E$60),$N21,AP$13))</f>
        <v>0</v>
      </c>
      <c r="AQ21" s="64">
        <f>IF(AND($K21=Calc.Top, AQ$10=Calc.Left),Player.Direction,INDEX(CHOOSE(INDEX(MazeDef,$L21,AQ$11),Primitives!$C$2:$E$4,Primitives!$C$6:$E$8,Primitives!$C$10:$E$12,Primitives!$C$14:$E$16,Primitives!$C$18:$E$20,Primitives!$C$22:$E$24,Primitives!$C$26:$E$28,Primitives!$C$30:$E$32,Primitives!$C$34:$E$36,Primitives!$C$38:$E$40,Primitives!$C$42:$E$44,Primitives!$C$46:$E$48,Primitives!$C$50:$E$52,Primitives!$C$54:$E$56,Primitives!$C$58:$E$60),$N21,AQ$13))</f>
        <v>0</v>
      </c>
      <c r="AR21" s="64">
        <f>IF(AND($K21=Calc.Top, AR$10=Calc.Left),Player.Direction,INDEX(CHOOSE(INDEX(MazeDef,$L21,AR$11),Primitives!$C$2:$E$4,Primitives!$C$6:$E$8,Primitives!$C$10:$E$12,Primitives!$C$14:$E$16,Primitives!$C$18:$E$20,Primitives!$C$22:$E$24,Primitives!$C$26:$E$28,Primitives!$C$30:$E$32,Primitives!$C$34:$E$36,Primitives!$C$38:$E$40,Primitives!$C$42:$E$44,Primitives!$C$46:$E$48,Primitives!$C$50:$E$52,Primitives!$C$54:$E$56,Primitives!$C$58:$E$60),$N21,AR$13))</f>
        <v>1</v>
      </c>
      <c r="AS21" s="2"/>
      <c r="AT21" s="2"/>
      <c r="AU21" s="2"/>
      <c r="AV21" s="2"/>
    </row>
    <row r="22" spans="1:48" ht="9" customHeight="1" x14ac:dyDescent="0.25">
      <c r="A22" s="5"/>
      <c r="B22" s="21">
        <v>1</v>
      </c>
      <c r="C22" s="21">
        <v>1</v>
      </c>
      <c r="D22" s="21">
        <v>1</v>
      </c>
      <c r="E22" s="2"/>
      <c r="F22" s="2"/>
      <c r="G22" s="2"/>
      <c r="H22" s="2"/>
      <c r="I22" s="2"/>
      <c r="J22" s="2"/>
      <c r="K22" s="2">
        <v>9</v>
      </c>
      <c r="L22" s="2">
        <v>3</v>
      </c>
      <c r="M22" s="69"/>
      <c r="N22" s="9">
        <v>3</v>
      </c>
      <c r="O22" s="64">
        <f>IF(AND($K22=Calc.Top, O$10=Calc.Left),Player.Direction,INDEX(CHOOSE(INDEX(MazeDef,$L22,O$11),Primitives!$C$2:$E$4,Primitives!$C$6:$E$8,Primitives!$C$10:$E$12,Primitives!$C$14:$E$16,Primitives!$C$18:$E$20,Primitives!$C$22:$E$24,Primitives!$C$26:$E$28,Primitives!$C$30:$E$32,Primitives!$C$34:$E$36,Primitives!$C$38:$E$40,Primitives!$C$42:$E$44,Primitives!$C$46:$E$48,Primitives!$C$50:$E$52,Primitives!$C$54:$E$56,Primitives!$C$58:$E$60),$N22,O$13))</f>
        <v>1</v>
      </c>
      <c r="P22" s="64">
        <f>IF(AND($K22=Calc.Top, P$10=Calc.Left),Player.Direction,INDEX(CHOOSE(INDEX(MazeDef,$L22,P$11),Primitives!$C$2:$E$4,Primitives!$C$6:$E$8,Primitives!$C$10:$E$12,Primitives!$C$14:$E$16,Primitives!$C$18:$E$20,Primitives!$C$22:$E$24,Primitives!$C$26:$E$28,Primitives!$C$30:$E$32,Primitives!$C$34:$E$36,Primitives!$C$38:$E$40,Primitives!$C$42:$E$44,Primitives!$C$46:$E$48,Primitives!$C$50:$E$52,Primitives!$C$54:$E$56,Primitives!$C$58:$E$60),$N22,P$13))</f>
        <v>1</v>
      </c>
      <c r="Q22" s="64">
        <f>IF(AND($K22=Calc.Top, Q$10=Calc.Left),Player.Direction,INDEX(CHOOSE(INDEX(MazeDef,$L22,Q$11),Primitives!$C$2:$E$4,Primitives!$C$6:$E$8,Primitives!$C$10:$E$12,Primitives!$C$14:$E$16,Primitives!$C$18:$E$20,Primitives!$C$22:$E$24,Primitives!$C$26:$E$28,Primitives!$C$30:$E$32,Primitives!$C$34:$E$36,Primitives!$C$38:$E$40,Primitives!$C$42:$E$44,Primitives!$C$46:$E$48,Primitives!$C$50:$E$52,Primitives!$C$54:$E$56,Primitives!$C$58:$E$60),$N22,Q$13))</f>
        <v>1</v>
      </c>
      <c r="R22" s="64">
        <f>IF(AND($K22=Calc.Top, R$10=Calc.Left),Player.Direction,INDEX(CHOOSE(INDEX(MazeDef,$L22,R$11),Primitives!$C$2:$E$4,Primitives!$C$6:$E$8,Primitives!$C$10:$E$12,Primitives!$C$14:$E$16,Primitives!$C$18:$E$20,Primitives!$C$22:$E$24,Primitives!$C$26:$E$28,Primitives!$C$30:$E$32,Primitives!$C$34:$E$36,Primitives!$C$38:$E$40,Primitives!$C$42:$E$44,Primitives!$C$46:$E$48,Primitives!$C$50:$E$52,Primitives!$C$54:$E$56,Primitives!$C$58:$E$60),$N22,R$13))</f>
        <v>1</v>
      </c>
      <c r="S22" s="64">
        <f>IF(AND($K22=Calc.Top, S$10=Calc.Left),Player.Direction,INDEX(CHOOSE(INDEX(MazeDef,$L22,S$11),Primitives!$C$2:$E$4,Primitives!$C$6:$E$8,Primitives!$C$10:$E$12,Primitives!$C$14:$E$16,Primitives!$C$18:$E$20,Primitives!$C$22:$E$24,Primitives!$C$26:$E$28,Primitives!$C$30:$E$32,Primitives!$C$34:$E$36,Primitives!$C$38:$E$40,Primitives!$C$42:$E$44,Primitives!$C$46:$E$48,Primitives!$C$50:$E$52,Primitives!$C$54:$E$56,Primitives!$C$58:$E$60),$N22,S$13))</f>
        <v>1</v>
      </c>
      <c r="T22" s="64">
        <f>IF(AND($K22=Calc.Top, T$10=Calc.Left),Player.Direction,INDEX(CHOOSE(INDEX(MazeDef,$L22,T$11),Primitives!$C$2:$E$4,Primitives!$C$6:$E$8,Primitives!$C$10:$E$12,Primitives!$C$14:$E$16,Primitives!$C$18:$E$20,Primitives!$C$22:$E$24,Primitives!$C$26:$E$28,Primitives!$C$30:$E$32,Primitives!$C$34:$E$36,Primitives!$C$38:$E$40,Primitives!$C$42:$E$44,Primitives!$C$46:$E$48,Primitives!$C$50:$E$52,Primitives!$C$54:$E$56,Primitives!$C$58:$E$60),$N22,T$13))</f>
        <v>1</v>
      </c>
      <c r="U22" s="64">
        <f>IF(AND($K22=Calc.Top, U$10=Calc.Left),Player.Direction,INDEX(CHOOSE(INDEX(MazeDef,$L22,U$11),Primitives!$C$2:$E$4,Primitives!$C$6:$E$8,Primitives!$C$10:$E$12,Primitives!$C$14:$E$16,Primitives!$C$18:$E$20,Primitives!$C$22:$E$24,Primitives!$C$26:$E$28,Primitives!$C$30:$E$32,Primitives!$C$34:$E$36,Primitives!$C$38:$E$40,Primitives!$C$42:$E$44,Primitives!$C$46:$E$48,Primitives!$C$50:$E$52,Primitives!$C$54:$E$56,Primitives!$C$58:$E$60),$N22,U$13))</f>
        <v>1</v>
      </c>
      <c r="V22" s="64">
        <f>IF(AND($K22=Calc.Top, V$10=Calc.Left),Player.Direction,INDEX(CHOOSE(INDEX(MazeDef,$L22,V$11),Primitives!$C$2:$E$4,Primitives!$C$6:$E$8,Primitives!$C$10:$E$12,Primitives!$C$14:$E$16,Primitives!$C$18:$E$20,Primitives!$C$22:$E$24,Primitives!$C$26:$E$28,Primitives!$C$30:$E$32,Primitives!$C$34:$E$36,Primitives!$C$38:$E$40,Primitives!$C$42:$E$44,Primitives!$C$46:$E$48,Primitives!$C$50:$E$52,Primitives!$C$54:$E$56,Primitives!$C$58:$E$60),$N22,V$13))</f>
        <v>0</v>
      </c>
      <c r="W22" s="64">
        <f>IF(AND($K22=Calc.Top, W$10=Calc.Left),Player.Direction,INDEX(CHOOSE(INDEX(MazeDef,$L22,W$11),Primitives!$C$2:$E$4,Primitives!$C$6:$E$8,Primitives!$C$10:$E$12,Primitives!$C$14:$E$16,Primitives!$C$18:$E$20,Primitives!$C$22:$E$24,Primitives!$C$26:$E$28,Primitives!$C$30:$E$32,Primitives!$C$34:$E$36,Primitives!$C$38:$E$40,Primitives!$C$42:$E$44,Primitives!$C$46:$E$48,Primitives!$C$50:$E$52,Primitives!$C$54:$E$56,Primitives!$C$58:$E$60),$N22,W$13))</f>
        <v>1</v>
      </c>
      <c r="X22" s="64">
        <f>IF(AND($K22=Calc.Top, X$10=Calc.Left),Player.Direction,INDEX(CHOOSE(INDEX(MazeDef,$L22,X$11),Primitives!$C$2:$E$4,Primitives!$C$6:$E$8,Primitives!$C$10:$E$12,Primitives!$C$14:$E$16,Primitives!$C$18:$E$20,Primitives!$C$22:$E$24,Primitives!$C$26:$E$28,Primitives!$C$30:$E$32,Primitives!$C$34:$E$36,Primitives!$C$38:$E$40,Primitives!$C$42:$E$44,Primitives!$C$46:$E$48,Primitives!$C$50:$E$52,Primitives!$C$54:$E$56,Primitives!$C$58:$E$60),$N22,X$13))</f>
        <v>1</v>
      </c>
      <c r="Y22" s="64">
        <f>IF(AND($K22=Calc.Top, Y$10=Calc.Left),Player.Direction,INDEX(CHOOSE(INDEX(MazeDef,$L22,Y$11),Primitives!$C$2:$E$4,Primitives!$C$6:$E$8,Primitives!$C$10:$E$12,Primitives!$C$14:$E$16,Primitives!$C$18:$E$20,Primitives!$C$22:$E$24,Primitives!$C$26:$E$28,Primitives!$C$30:$E$32,Primitives!$C$34:$E$36,Primitives!$C$38:$E$40,Primitives!$C$42:$E$44,Primitives!$C$46:$E$48,Primitives!$C$50:$E$52,Primitives!$C$54:$E$56,Primitives!$C$58:$E$60),$N22,Y$13))</f>
        <v>0</v>
      </c>
      <c r="Z22" s="64">
        <f>IF(AND($K22=Calc.Top, Z$10=Calc.Left),Player.Direction,INDEX(CHOOSE(INDEX(MazeDef,$L22,Z$11),Primitives!$C$2:$E$4,Primitives!$C$6:$E$8,Primitives!$C$10:$E$12,Primitives!$C$14:$E$16,Primitives!$C$18:$E$20,Primitives!$C$22:$E$24,Primitives!$C$26:$E$28,Primitives!$C$30:$E$32,Primitives!$C$34:$E$36,Primitives!$C$38:$E$40,Primitives!$C$42:$E$44,Primitives!$C$46:$E$48,Primitives!$C$50:$E$52,Primitives!$C$54:$E$56,Primitives!$C$58:$E$60),$N22,Z$13))</f>
        <v>1</v>
      </c>
      <c r="AA22" s="64">
        <f>IF(AND($K22=Calc.Top, AA$10=Calc.Left),Player.Direction,INDEX(CHOOSE(INDEX(MazeDef,$L22,AA$11),Primitives!$C$2:$E$4,Primitives!$C$6:$E$8,Primitives!$C$10:$E$12,Primitives!$C$14:$E$16,Primitives!$C$18:$E$20,Primitives!$C$22:$E$24,Primitives!$C$26:$E$28,Primitives!$C$30:$E$32,Primitives!$C$34:$E$36,Primitives!$C$38:$E$40,Primitives!$C$42:$E$44,Primitives!$C$46:$E$48,Primitives!$C$50:$E$52,Primitives!$C$54:$E$56,Primitives!$C$58:$E$60),$N22,AA$13))</f>
        <v>1</v>
      </c>
      <c r="AB22" s="64">
        <f>IF(AND($K22=Calc.Top, AB$10=Calc.Left),Player.Direction,INDEX(CHOOSE(INDEX(MazeDef,$L22,AB$11),Primitives!$C$2:$E$4,Primitives!$C$6:$E$8,Primitives!$C$10:$E$12,Primitives!$C$14:$E$16,Primitives!$C$18:$E$20,Primitives!$C$22:$E$24,Primitives!$C$26:$E$28,Primitives!$C$30:$E$32,Primitives!$C$34:$E$36,Primitives!$C$38:$E$40,Primitives!$C$42:$E$44,Primitives!$C$46:$E$48,Primitives!$C$50:$E$52,Primitives!$C$54:$E$56,Primitives!$C$58:$E$60),$N22,AB$13))</f>
        <v>0</v>
      </c>
      <c r="AC22" s="64">
        <f>IF(AND($K22=Calc.Top, AC$10=Calc.Left),Player.Direction,INDEX(CHOOSE(INDEX(MazeDef,$L22,AC$11),Primitives!$C$2:$E$4,Primitives!$C$6:$E$8,Primitives!$C$10:$E$12,Primitives!$C$14:$E$16,Primitives!$C$18:$E$20,Primitives!$C$22:$E$24,Primitives!$C$26:$E$28,Primitives!$C$30:$E$32,Primitives!$C$34:$E$36,Primitives!$C$38:$E$40,Primitives!$C$42:$E$44,Primitives!$C$46:$E$48,Primitives!$C$50:$E$52,Primitives!$C$54:$E$56,Primitives!$C$58:$E$60),$N22,AC$13))</f>
        <v>1</v>
      </c>
      <c r="AD22" s="64">
        <f>IF(AND($K22=Calc.Top, AD$10=Calc.Left),Player.Direction,INDEX(CHOOSE(INDEX(MazeDef,$L22,AD$11),Primitives!$C$2:$E$4,Primitives!$C$6:$E$8,Primitives!$C$10:$E$12,Primitives!$C$14:$E$16,Primitives!$C$18:$E$20,Primitives!$C$22:$E$24,Primitives!$C$26:$E$28,Primitives!$C$30:$E$32,Primitives!$C$34:$E$36,Primitives!$C$38:$E$40,Primitives!$C$42:$E$44,Primitives!$C$46:$E$48,Primitives!$C$50:$E$52,Primitives!$C$54:$E$56,Primitives!$C$58:$E$60),$N22,AD$13))</f>
        <v>1</v>
      </c>
      <c r="AE22" s="64">
        <f>IF(AND($K22=Calc.Top, AE$10=Calc.Left),Player.Direction,INDEX(CHOOSE(INDEX(MazeDef,$L22,AE$11),Primitives!$C$2:$E$4,Primitives!$C$6:$E$8,Primitives!$C$10:$E$12,Primitives!$C$14:$E$16,Primitives!$C$18:$E$20,Primitives!$C$22:$E$24,Primitives!$C$26:$E$28,Primitives!$C$30:$E$32,Primitives!$C$34:$E$36,Primitives!$C$38:$E$40,Primitives!$C$42:$E$44,Primitives!$C$46:$E$48,Primitives!$C$50:$E$52,Primitives!$C$54:$E$56,Primitives!$C$58:$E$60),$N22,AE$13))</f>
        <v>1</v>
      </c>
      <c r="AF22" s="64">
        <f>IF(AND($K22=Calc.Top, AF$10=Calc.Left),Player.Direction,INDEX(CHOOSE(INDEX(MazeDef,$L22,AF$11),Primitives!$C$2:$E$4,Primitives!$C$6:$E$8,Primitives!$C$10:$E$12,Primitives!$C$14:$E$16,Primitives!$C$18:$E$20,Primitives!$C$22:$E$24,Primitives!$C$26:$E$28,Primitives!$C$30:$E$32,Primitives!$C$34:$E$36,Primitives!$C$38:$E$40,Primitives!$C$42:$E$44,Primitives!$C$46:$E$48,Primitives!$C$50:$E$52,Primitives!$C$54:$E$56,Primitives!$C$58:$E$60),$N22,AF$13))</f>
        <v>1</v>
      </c>
      <c r="AG22" s="64">
        <f>IF(AND($K22=Calc.Top, AG$10=Calc.Left),Player.Direction,INDEX(CHOOSE(INDEX(MazeDef,$L22,AG$11),Primitives!$C$2:$E$4,Primitives!$C$6:$E$8,Primitives!$C$10:$E$12,Primitives!$C$14:$E$16,Primitives!$C$18:$E$20,Primitives!$C$22:$E$24,Primitives!$C$26:$E$28,Primitives!$C$30:$E$32,Primitives!$C$34:$E$36,Primitives!$C$38:$E$40,Primitives!$C$42:$E$44,Primitives!$C$46:$E$48,Primitives!$C$50:$E$52,Primitives!$C$54:$E$56,Primitives!$C$58:$E$60),$N22,AG$13))</f>
        <v>1</v>
      </c>
      <c r="AH22" s="64">
        <f>IF(AND($K22=Calc.Top, AH$10=Calc.Left),Player.Direction,INDEX(CHOOSE(INDEX(MazeDef,$L22,AH$11),Primitives!$C$2:$E$4,Primitives!$C$6:$E$8,Primitives!$C$10:$E$12,Primitives!$C$14:$E$16,Primitives!$C$18:$E$20,Primitives!$C$22:$E$24,Primitives!$C$26:$E$28,Primitives!$C$30:$E$32,Primitives!$C$34:$E$36,Primitives!$C$38:$E$40,Primitives!$C$42:$E$44,Primitives!$C$46:$E$48,Primitives!$C$50:$E$52,Primitives!$C$54:$E$56,Primitives!$C$58:$E$60),$N22,AH$13))</f>
        <v>1</v>
      </c>
      <c r="AI22" s="64">
        <f>IF(AND($K22=Calc.Top, AI$10=Calc.Left),Player.Direction,INDEX(CHOOSE(INDEX(MazeDef,$L22,AI$11),Primitives!$C$2:$E$4,Primitives!$C$6:$E$8,Primitives!$C$10:$E$12,Primitives!$C$14:$E$16,Primitives!$C$18:$E$20,Primitives!$C$22:$E$24,Primitives!$C$26:$E$28,Primitives!$C$30:$E$32,Primitives!$C$34:$E$36,Primitives!$C$38:$E$40,Primitives!$C$42:$E$44,Primitives!$C$46:$E$48,Primitives!$C$50:$E$52,Primitives!$C$54:$E$56,Primitives!$C$58:$E$60),$N22,AI$13))</f>
        <v>1</v>
      </c>
      <c r="AJ22" s="64">
        <f>IF(AND($K22=Calc.Top, AJ$10=Calc.Left),Player.Direction,INDEX(CHOOSE(INDEX(MazeDef,$L22,AJ$11),Primitives!$C$2:$E$4,Primitives!$C$6:$E$8,Primitives!$C$10:$E$12,Primitives!$C$14:$E$16,Primitives!$C$18:$E$20,Primitives!$C$22:$E$24,Primitives!$C$26:$E$28,Primitives!$C$30:$E$32,Primitives!$C$34:$E$36,Primitives!$C$38:$E$40,Primitives!$C$42:$E$44,Primitives!$C$46:$E$48,Primitives!$C$50:$E$52,Primitives!$C$54:$E$56,Primitives!$C$58:$E$60),$N22,AJ$13))</f>
        <v>1</v>
      </c>
      <c r="AK22" s="64">
        <f>IF(AND($K22=Calc.Top, AK$10=Calc.Left),Player.Direction,INDEX(CHOOSE(INDEX(MazeDef,$L22,AK$11),Primitives!$C$2:$E$4,Primitives!$C$6:$E$8,Primitives!$C$10:$E$12,Primitives!$C$14:$E$16,Primitives!$C$18:$E$20,Primitives!$C$22:$E$24,Primitives!$C$26:$E$28,Primitives!$C$30:$E$32,Primitives!$C$34:$E$36,Primitives!$C$38:$E$40,Primitives!$C$42:$E$44,Primitives!$C$46:$E$48,Primitives!$C$50:$E$52,Primitives!$C$54:$E$56,Primitives!$C$58:$E$60),$N22,AK$13))</f>
        <v>0</v>
      </c>
      <c r="AL22" s="64">
        <f>IF(AND($K22=Calc.Top, AL$10=Calc.Left),Player.Direction,INDEX(CHOOSE(INDEX(MazeDef,$L22,AL$11),Primitives!$C$2:$E$4,Primitives!$C$6:$E$8,Primitives!$C$10:$E$12,Primitives!$C$14:$E$16,Primitives!$C$18:$E$20,Primitives!$C$22:$E$24,Primitives!$C$26:$E$28,Primitives!$C$30:$E$32,Primitives!$C$34:$E$36,Primitives!$C$38:$E$40,Primitives!$C$42:$E$44,Primitives!$C$46:$E$48,Primitives!$C$50:$E$52,Primitives!$C$54:$E$56,Primitives!$C$58:$E$60),$N22,AL$13))</f>
        <v>1</v>
      </c>
      <c r="AM22" s="64">
        <f>IF(AND($K22=Calc.Top, AM$10=Calc.Left),Player.Direction,INDEX(CHOOSE(INDEX(MazeDef,$L22,AM$11),Primitives!$C$2:$E$4,Primitives!$C$6:$E$8,Primitives!$C$10:$E$12,Primitives!$C$14:$E$16,Primitives!$C$18:$E$20,Primitives!$C$22:$E$24,Primitives!$C$26:$E$28,Primitives!$C$30:$E$32,Primitives!$C$34:$E$36,Primitives!$C$38:$E$40,Primitives!$C$42:$E$44,Primitives!$C$46:$E$48,Primitives!$C$50:$E$52,Primitives!$C$54:$E$56,Primitives!$C$58:$E$60),$N22,AM$13))</f>
        <v>1</v>
      </c>
      <c r="AN22" s="64">
        <f>IF(AND($K22=Calc.Top, AN$10=Calc.Left),Player.Direction,INDEX(CHOOSE(INDEX(MazeDef,$L22,AN$11),Primitives!$C$2:$E$4,Primitives!$C$6:$E$8,Primitives!$C$10:$E$12,Primitives!$C$14:$E$16,Primitives!$C$18:$E$20,Primitives!$C$22:$E$24,Primitives!$C$26:$E$28,Primitives!$C$30:$E$32,Primitives!$C$34:$E$36,Primitives!$C$38:$E$40,Primitives!$C$42:$E$44,Primitives!$C$46:$E$48,Primitives!$C$50:$E$52,Primitives!$C$54:$E$56,Primitives!$C$58:$E$60),$N22,AN$13))</f>
        <v>0</v>
      </c>
      <c r="AO22" s="64">
        <f>IF(AND($K22=Calc.Top, AO$10=Calc.Left),Player.Direction,INDEX(CHOOSE(INDEX(MazeDef,$L22,AO$11),Primitives!$C$2:$E$4,Primitives!$C$6:$E$8,Primitives!$C$10:$E$12,Primitives!$C$14:$E$16,Primitives!$C$18:$E$20,Primitives!$C$22:$E$24,Primitives!$C$26:$E$28,Primitives!$C$30:$E$32,Primitives!$C$34:$E$36,Primitives!$C$38:$E$40,Primitives!$C$42:$E$44,Primitives!$C$46:$E$48,Primitives!$C$50:$E$52,Primitives!$C$54:$E$56,Primitives!$C$58:$E$60),$N22,AO$13))</f>
        <v>1</v>
      </c>
      <c r="AP22" s="64">
        <f>IF(AND($K22=Calc.Top, AP$10=Calc.Left),Player.Direction,INDEX(CHOOSE(INDEX(MazeDef,$L22,AP$11),Primitives!$C$2:$E$4,Primitives!$C$6:$E$8,Primitives!$C$10:$E$12,Primitives!$C$14:$E$16,Primitives!$C$18:$E$20,Primitives!$C$22:$E$24,Primitives!$C$26:$E$28,Primitives!$C$30:$E$32,Primitives!$C$34:$E$36,Primitives!$C$38:$E$40,Primitives!$C$42:$E$44,Primitives!$C$46:$E$48,Primitives!$C$50:$E$52,Primitives!$C$54:$E$56,Primitives!$C$58:$E$60),$N22,AP$13))</f>
        <v>1</v>
      </c>
      <c r="AQ22" s="64">
        <f>IF(AND($K22=Calc.Top, AQ$10=Calc.Left),Player.Direction,INDEX(CHOOSE(INDEX(MazeDef,$L22,AQ$11),Primitives!$C$2:$E$4,Primitives!$C$6:$E$8,Primitives!$C$10:$E$12,Primitives!$C$14:$E$16,Primitives!$C$18:$E$20,Primitives!$C$22:$E$24,Primitives!$C$26:$E$28,Primitives!$C$30:$E$32,Primitives!$C$34:$E$36,Primitives!$C$38:$E$40,Primitives!$C$42:$E$44,Primitives!$C$46:$E$48,Primitives!$C$50:$E$52,Primitives!$C$54:$E$56,Primitives!$C$58:$E$60),$N22,AQ$13))</f>
        <v>0</v>
      </c>
      <c r="AR22" s="64">
        <f>IF(AND($K22=Calc.Top, AR$10=Calc.Left),Player.Direction,INDEX(CHOOSE(INDEX(MazeDef,$L22,AR$11),Primitives!$C$2:$E$4,Primitives!$C$6:$E$8,Primitives!$C$10:$E$12,Primitives!$C$14:$E$16,Primitives!$C$18:$E$20,Primitives!$C$22:$E$24,Primitives!$C$26:$E$28,Primitives!$C$30:$E$32,Primitives!$C$34:$E$36,Primitives!$C$38:$E$40,Primitives!$C$42:$E$44,Primitives!$C$46:$E$48,Primitives!$C$50:$E$52,Primitives!$C$54:$E$56,Primitives!$C$58:$E$60),$N22,AR$13))</f>
        <v>1</v>
      </c>
      <c r="AS22" s="2"/>
      <c r="AT22" s="2"/>
      <c r="AU22" s="2"/>
      <c r="AV22" s="2"/>
    </row>
    <row r="23" spans="1:48" ht="9" customHeight="1" x14ac:dyDescent="0.25">
      <c r="A23" s="5">
        <v>3</v>
      </c>
      <c r="B23" s="21">
        <v>1</v>
      </c>
      <c r="C23" s="21"/>
      <c r="D23" s="21">
        <v>1</v>
      </c>
      <c r="E23" s="2"/>
      <c r="F23" s="2"/>
      <c r="G23" s="2"/>
      <c r="H23" s="2"/>
      <c r="I23" s="2"/>
      <c r="J23" s="2"/>
      <c r="K23" s="2">
        <v>10</v>
      </c>
      <c r="L23" s="2">
        <v>4</v>
      </c>
      <c r="M23" s="67">
        <v>4</v>
      </c>
      <c r="N23" s="7">
        <v>1</v>
      </c>
      <c r="O23" s="64">
        <f>IF(AND($K23=Calc.Top, O$10=Calc.Left),Player.Direction,INDEX(CHOOSE(INDEX(MazeDef,$L23,O$11),Primitives!$C$2:$E$4,Primitives!$C$6:$E$8,Primitives!$C$10:$E$12,Primitives!$C$14:$E$16,Primitives!$C$18:$E$20,Primitives!$C$22:$E$24,Primitives!$C$26:$E$28,Primitives!$C$30:$E$32,Primitives!$C$34:$E$36,Primitives!$C$38:$E$40,Primitives!$C$42:$E$44,Primitives!$C$46:$E$48,Primitives!$C$50:$E$52,Primitives!$C$54:$E$56,Primitives!$C$58:$E$60),$N23,O$13))</f>
        <v>1</v>
      </c>
      <c r="P23" s="64">
        <f>IF(AND($K23=Calc.Top, P$10=Calc.Left),Player.Direction,INDEX(CHOOSE(INDEX(MazeDef,$L23,P$11),Primitives!$C$2:$E$4,Primitives!$C$6:$E$8,Primitives!$C$10:$E$12,Primitives!$C$14:$E$16,Primitives!$C$18:$E$20,Primitives!$C$22:$E$24,Primitives!$C$26:$E$28,Primitives!$C$30:$E$32,Primitives!$C$34:$E$36,Primitives!$C$38:$E$40,Primitives!$C$42:$E$44,Primitives!$C$46:$E$48,Primitives!$C$50:$E$52,Primitives!$C$54:$E$56,Primitives!$C$58:$E$60),$N23,P$13))</f>
        <v>1</v>
      </c>
      <c r="Q23" s="64">
        <f>IF(AND($K23=Calc.Top, Q$10=Calc.Left),Player.Direction,INDEX(CHOOSE(INDEX(MazeDef,$L23,Q$11),Primitives!$C$2:$E$4,Primitives!$C$6:$E$8,Primitives!$C$10:$E$12,Primitives!$C$14:$E$16,Primitives!$C$18:$E$20,Primitives!$C$22:$E$24,Primitives!$C$26:$E$28,Primitives!$C$30:$E$32,Primitives!$C$34:$E$36,Primitives!$C$38:$E$40,Primitives!$C$42:$E$44,Primitives!$C$46:$E$48,Primitives!$C$50:$E$52,Primitives!$C$54:$E$56,Primitives!$C$58:$E$60),$N23,Q$13))</f>
        <v>1</v>
      </c>
      <c r="R23" s="64">
        <f>IF(AND($K23=Calc.Top, R$10=Calc.Left),Player.Direction,INDEX(CHOOSE(INDEX(MazeDef,$L23,R$11),Primitives!$C$2:$E$4,Primitives!$C$6:$E$8,Primitives!$C$10:$E$12,Primitives!$C$14:$E$16,Primitives!$C$18:$E$20,Primitives!$C$22:$E$24,Primitives!$C$26:$E$28,Primitives!$C$30:$E$32,Primitives!$C$34:$E$36,Primitives!$C$38:$E$40,Primitives!$C$42:$E$44,Primitives!$C$46:$E$48,Primitives!$C$50:$E$52,Primitives!$C$54:$E$56,Primitives!$C$58:$E$60),$N23,R$13))</f>
        <v>1</v>
      </c>
      <c r="S23" s="64">
        <f>IF(AND($K23=Calc.Top, S$10=Calc.Left),Player.Direction,INDEX(CHOOSE(INDEX(MazeDef,$L23,S$11),Primitives!$C$2:$E$4,Primitives!$C$6:$E$8,Primitives!$C$10:$E$12,Primitives!$C$14:$E$16,Primitives!$C$18:$E$20,Primitives!$C$22:$E$24,Primitives!$C$26:$E$28,Primitives!$C$30:$E$32,Primitives!$C$34:$E$36,Primitives!$C$38:$E$40,Primitives!$C$42:$E$44,Primitives!$C$46:$E$48,Primitives!$C$50:$E$52,Primitives!$C$54:$E$56,Primitives!$C$58:$E$60),$N23,S$13))</f>
        <v>1</v>
      </c>
      <c r="T23" s="64">
        <f>IF(AND($K23=Calc.Top, T$10=Calc.Left),Player.Direction,INDEX(CHOOSE(INDEX(MazeDef,$L23,T$11),Primitives!$C$2:$E$4,Primitives!$C$6:$E$8,Primitives!$C$10:$E$12,Primitives!$C$14:$E$16,Primitives!$C$18:$E$20,Primitives!$C$22:$E$24,Primitives!$C$26:$E$28,Primitives!$C$30:$E$32,Primitives!$C$34:$E$36,Primitives!$C$38:$E$40,Primitives!$C$42:$E$44,Primitives!$C$46:$E$48,Primitives!$C$50:$E$52,Primitives!$C$54:$E$56,Primitives!$C$58:$E$60),$N23,T$13))</f>
        <v>1</v>
      </c>
      <c r="U23" s="64">
        <f>IF(AND($K23=Calc.Top, U$10=Calc.Left),Player.Direction,INDEX(CHOOSE(INDEX(MazeDef,$L23,U$11),Primitives!$C$2:$E$4,Primitives!$C$6:$E$8,Primitives!$C$10:$E$12,Primitives!$C$14:$E$16,Primitives!$C$18:$E$20,Primitives!$C$22:$E$24,Primitives!$C$26:$E$28,Primitives!$C$30:$E$32,Primitives!$C$34:$E$36,Primitives!$C$38:$E$40,Primitives!$C$42:$E$44,Primitives!$C$46:$E$48,Primitives!$C$50:$E$52,Primitives!$C$54:$E$56,Primitives!$C$58:$E$60),$N23,U$13))</f>
        <v>1</v>
      </c>
      <c r="V23" s="64">
        <f>IF(AND($K23=Calc.Top, V$10=Calc.Left),Player.Direction,INDEX(CHOOSE(INDEX(MazeDef,$L23,V$11),Primitives!$C$2:$E$4,Primitives!$C$6:$E$8,Primitives!$C$10:$E$12,Primitives!$C$14:$E$16,Primitives!$C$18:$E$20,Primitives!$C$22:$E$24,Primitives!$C$26:$E$28,Primitives!$C$30:$E$32,Primitives!$C$34:$E$36,Primitives!$C$38:$E$40,Primitives!$C$42:$E$44,Primitives!$C$46:$E$48,Primitives!$C$50:$E$52,Primitives!$C$54:$E$56,Primitives!$C$58:$E$60),$N23,V$13))</f>
        <v>0</v>
      </c>
      <c r="W23" s="64">
        <f>IF(AND($K23=Calc.Top, W$10=Calc.Left),Player.Direction,INDEX(CHOOSE(INDEX(MazeDef,$L23,W$11),Primitives!$C$2:$E$4,Primitives!$C$6:$E$8,Primitives!$C$10:$E$12,Primitives!$C$14:$E$16,Primitives!$C$18:$E$20,Primitives!$C$22:$E$24,Primitives!$C$26:$E$28,Primitives!$C$30:$E$32,Primitives!$C$34:$E$36,Primitives!$C$38:$E$40,Primitives!$C$42:$E$44,Primitives!$C$46:$E$48,Primitives!$C$50:$E$52,Primitives!$C$54:$E$56,Primitives!$C$58:$E$60),$N23,W$13))</f>
        <v>1</v>
      </c>
      <c r="X23" s="64">
        <f>IF(AND($K23=Calc.Top, X$10=Calc.Left),Player.Direction,INDEX(CHOOSE(INDEX(MazeDef,$L23,X$11),Primitives!$C$2:$E$4,Primitives!$C$6:$E$8,Primitives!$C$10:$E$12,Primitives!$C$14:$E$16,Primitives!$C$18:$E$20,Primitives!$C$22:$E$24,Primitives!$C$26:$E$28,Primitives!$C$30:$E$32,Primitives!$C$34:$E$36,Primitives!$C$38:$E$40,Primitives!$C$42:$E$44,Primitives!$C$46:$E$48,Primitives!$C$50:$E$52,Primitives!$C$54:$E$56,Primitives!$C$58:$E$60),$N23,X$13))</f>
        <v>1</v>
      </c>
      <c r="Y23" s="64">
        <f>IF(AND($K23=Calc.Top, Y$10=Calc.Left),Player.Direction,INDEX(CHOOSE(INDEX(MazeDef,$L23,Y$11),Primitives!$C$2:$E$4,Primitives!$C$6:$E$8,Primitives!$C$10:$E$12,Primitives!$C$14:$E$16,Primitives!$C$18:$E$20,Primitives!$C$22:$E$24,Primitives!$C$26:$E$28,Primitives!$C$30:$E$32,Primitives!$C$34:$E$36,Primitives!$C$38:$E$40,Primitives!$C$42:$E$44,Primitives!$C$46:$E$48,Primitives!$C$50:$E$52,Primitives!$C$54:$E$56,Primitives!$C$58:$E$60),$N23,Y$13))</f>
        <v>0</v>
      </c>
      <c r="Z23" s="64">
        <f>IF(AND($K23=Calc.Top, Z$10=Calc.Left),Player.Direction,INDEX(CHOOSE(INDEX(MazeDef,$L23,Z$11),Primitives!$C$2:$E$4,Primitives!$C$6:$E$8,Primitives!$C$10:$E$12,Primitives!$C$14:$E$16,Primitives!$C$18:$E$20,Primitives!$C$22:$E$24,Primitives!$C$26:$E$28,Primitives!$C$30:$E$32,Primitives!$C$34:$E$36,Primitives!$C$38:$E$40,Primitives!$C$42:$E$44,Primitives!$C$46:$E$48,Primitives!$C$50:$E$52,Primitives!$C$54:$E$56,Primitives!$C$58:$E$60),$N23,Z$13))</f>
        <v>1</v>
      </c>
      <c r="AA23" s="64">
        <f>IF(AND($K23=Calc.Top, AA$10=Calc.Left),Player.Direction,INDEX(CHOOSE(INDEX(MazeDef,$L23,AA$11),Primitives!$C$2:$E$4,Primitives!$C$6:$E$8,Primitives!$C$10:$E$12,Primitives!$C$14:$E$16,Primitives!$C$18:$E$20,Primitives!$C$22:$E$24,Primitives!$C$26:$E$28,Primitives!$C$30:$E$32,Primitives!$C$34:$E$36,Primitives!$C$38:$E$40,Primitives!$C$42:$E$44,Primitives!$C$46:$E$48,Primitives!$C$50:$E$52,Primitives!$C$54:$E$56,Primitives!$C$58:$E$60),$N23,AA$13))</f>
        <v>1</v>
      </c>
      <c r="AB23" s="64">
        <f>IF(AND($K23=Calc.Top, AB$10=Calc.Left),Player.Direction,INDEX(CHOOSE(INDEX(MazeDef,$L23,AB$11),Primitives!$C$2:$E$4,Primitives!$C$6:$E$8,Primitives!$C$10:$E$12,Primitives!$C$14:$E$16,Primitives!$C$18:$E$20,Primitives!$C$22:$E$24,Primitives!$C$26:$E$28,Primitives!$C$30:$E$32,Primitives!$C$34:$E$36,Primitives!$C$38:$E$40,Primitives!$C$42:$E$44,Primitives!$C$46:$E$48,Primitives!$C$50:$E$52,Primitives!$C$54:$E$56,Primitives!$C$58:$E$60),$N23,AB$13))</f>
        <v>0</v>
      </c>
      <c r="AC23" s="64">
        <f>IF(AND($K23=Calc.Top, AC$10=Calc.Left),Player.Direction,INDEX(CHOOSE(INDEX(MazeDef,$L23,AC$11),Primitives!$C$2:$E$4,Primitives!$C$6:$E$8,Primitives!$C$10:$E$12,Primitives!$C$14:$E$16,Primitives!$C$18:$E$20,Primitives!$C$22:$E$24,Primitives!$C$26:$E$28,Primitives!$C$30:$E$32,Primitives!$C$34:$E$36,Primitives!$C$38:$E$40,Primitives!$C$42:$E$44,Primitives!$C$46:$E$48,Primitives!$C$50:$E$52,Primitives!$C$54:$E$56,Primitives!$C$58:$E$60),$N23,AC$13))</f>
        <v>1</v>
      </c>
      <c r="AD23" s="64">
        <f>IF(AND($K23=Calc.Top, AD$10=Calc.Left),Player.Direction,INDEX(CHOOSE(INDEX(MazeDef,$L23,AD$11),Primitives!$C$2:$E$4,Primitives!$C$6:$E$8,Primitives!$C$10:$E$12,Primitives!$C$14:$E$16,Primitives!$C$18:$E$20,Primitives!$C$22:$E$24,Primitives!$C$26:$E$28,Primitives!$C$30:$E$32,Primitives!$C$34:$E$36,Primitives!$C$38:$E$40,Primitives!$C$42:$E$44,Primitives!$C$46:$E$48,Primitives!$C$50:$E$52,Primitives!$C$54:$E$56,Primitives!$C$58:$E$60),$N23,AD$13))</f>
        <v>1</v>
      </c>
      <c r="AE23" s="64">
        <f>IF(AND($K23=Calc.Top, AE$10=Calc.Left),Player.Direction,INDEX(CHOOSE(INDEX(MazeDef,$L23,AE$11),Primitives!$C$2:$E$4,Primitives!$C$6:$E$8,Primitives!$C$10:$E$12,Primitives!$C$14:$E$16,Primitives!$C$18:$E$20,Primitives!$C$22:$E$24,Primitives!$C$26:$E$28,Primitives!$C$30:$E$32,Primitives!$C$34:$E$36,Primitives!$C$38:$E$40,Primitives!$C$42:$E$44,Primitives!$C$46:$E$48,Primitives!$C$50:$E$52,Primitives!$C$54:$E$56,Primitives!$C$58:$E$60),$N23,AE$13))</f>
        <v>1</v>
      </c>
      <c r="AF23" s="64">
        <f>IF(AND($K23=Calc.Top, AF$10=Calc.Left),Player.Direction,INDEX(CHOOSE(INDEX(MazeDef,$L23,AF$11),Primitives!$C$2:$E$4,Primitives!$C$6:$E$8,Primitives!$C$10:$E$12,Primitives!$C$14:$E$16,Primitives!$C$18:$E$20,Primitives!$C$22:$E$24,Primitives!$C$26:$E$28,Primitives!$C$30:$E$32,Primitives!$C$34:$E$36,Primitives!$C$38:$E$40,Primitives!$C$42:$E$44,Primitives!$C$46:$E$48,Primitives!$C$50:$E$52,Primitives!$C$54:$E$56,Primitives!$C$58:$E$60),$N23,AF$13))</f>
        <v>1</v>
      </c>
      <c r="AG23" s="64">
        <f>IF(AND($K23=Calc.Top, AG$10=Calc.Left),Player.Direction,INDEX(CHOOSE(INDEX(MazeDef,$L23,AG$11),Primitives!$C$2:$E$4,Primitives!$C$6:$E$8,Primitives!$C$10:$E$12,Primitives!$C$14:$E$16,Primitives!$C$18:$E$20,Primitives!$C$22:$E$24,Primitives!$C$26:$E$28,Primitives!$C$30:$E$32,Primitives!$C$34:$E$36,Primitives!$C$38:$E$40,Primitives!$C$42:$E$44,Primitives!$C$46:$E$48,Primitives!$C$50:$E$52,Primitives!$C$54:$E$56,Primitives!$C$58:$E$60),$N23,AG$13))</f>
        <v>1</v>
      </c>
      <c r="AH23" s="64">
        <f>IF(AND($K23=Calc.Top, AH$10=Calc.Left),Player.Direction,INDEX(CHOOSE(INDEX(MazeDef,$L23,AH$11),Primitives!$C$2:$E$4,Primitives!$C$6:$E$8,Primitives!$C$10:$E$12,Primitives!$C$14:$E$16,Primitives!$C$18:$E$20,Primitives!$C$22:$E$24,Primitives!$C$26:$E$28,Primitives!$C$30:$E$32,Primitives!$C$34:$E$36,Primitives!$C$38:$E$40,Primitives!$C$42:$E$44,Primitives!$C$46:$E$48,Primitives!$C$50:$E$52,Primitives!$C$54:$E$56,Primitives!$C$58:$E$60),$N23,AH$13))</f>
        <v>1</v>
      </c>
      <c r="AI23" s="64">
        <f>IF(AND($K23=Calc.Top, AI$10=Calc.Left),Player.Direction,INDEX(CHOOSE(INDEX(MazeDef,$L23,AI$11),Primitives!$C$2:$E$4,Primitives!$C$6:$E$8,Primitives!$C$10:$E$12,Primitives!$C$14:$E$16,Primitives!$C$18:$E$20,Primitives!$C$22:$E$24,Primitives!$C$26:$E$28,Primitives!$C$30:$E$32,Primitives!$C$34:$E$36,Primitives!$C$38:$E$40,Primitives!$C$42:$E$44,Primitives!$C$46:$E$48,Primitives!$C$50:$E$52,Primitives!$C$54:$E$56,Primitives!$C$58:$E$60),$N23,AI$13))</f>
        <v>1</v>
      </c>
      <c r="AJ23" s="64">
        <f>IF(AND($K23=Calc.Top, AJ$10=Calc.Left),Player.Direction,INDEX(CHOOSE(INDEX(MazeDef,$L23,AJ$11),Primitives!$C$2:$E$4,Primitives!$C$6:$E$8,Primitives!$C$10:$E$12,Primitives!$C$14:$E$16,Primitives!$C$18:$E$20,Primitives!$C$22:$E$24,Primitives!$C$26:$E$28,Primitives!$C$30:$E$32,Primitives!$C$34:$E$36,Primitives!$C$38:$E$40,Primitives!$C$42:$E$44,Primitives!$C$46:$E$48,Primitives!$C$50:$E$52,Primitives!$C$54:$E$56,Primitives!$C$58:$E$60),$N23,AJ$13))</f>
        <v>1</v>
      </c>
      <c r="AK23" s="64">
        <f>IF(AND($K23=Calc.Top, AK$10=Calc.Left),Player.Direction,INDEX(CHOOSE(INDEX(MazeDef,$L23,AK$11),Primitives!$C$2:$E$4,Primitives!$C$6:$E$8,Primitives!$C$10:$E$12,Primitives!$C$14:$E$16,Primitives!$C$18:$E$20,Primitives!$C$22:$E$24,Primitives!$C$26:$E$28,Primitives!$C$30:$E$32,Primitives!$C$34:$E$36,Primitives!$C$38:$E$40,Primitives!$C$42:$E$44,Primitives!$C$46:$E$48,Primitives!$C$50:$E$52,Primitives!$C$54:$E$56,Primitives!$C$58:$E$60),$N23,AK$13))</f>
        <v>0</v>
      </c>
      <c r="AL23" s="64">
        <f>IF(AND($K23=Calc.Top, AL$10=Calc.Left),Player.Direction,INDEX(CHOOSE(INDEX(MazeDef,$L23,AL$11),Primitives!$C$2:$E$4,Primitives!$C$6:$E$8,Primitives!$C$10:$E$12,Primitives!$C$14:$E$16,Primitives!$C$18:$E$20,Primitives!$C$22:$E$24,Primitives!$C$26:$E$28,Primitives!$C$30:$E$32,Primitives!$C$34:$E$36,Primitives!$C$38:$E$40,Primitives!$C$42:$E$44,Primitives!$C$46:$E$48,Primitives!$C$50:$E$52,Primitives!$C$54:$E$56,Primitives!$C$58:$E$60),$N23,AL$13))</f>
        <v>1</v>
      </c>
      <c r="AM23" s="64">
        <f>IF(AND($K23=Calc.Top, AM$10=Calc.Left),Player.Direction,INDEX(CHOOSE(INDEX(MazeDef,$L23,AM$11),Primitives!$C$2:$E$4,Primitives!$C$6:$E$8,Primitives!$C$10:$E$12,Primitives!$C$14:$E$16,Primitives!$C$18:$E$20,Primitives!$C$22:$E$24,Primitives!$C$26:$E$28,Primitives!$C$30:$E$32,Primitives!$C$34:$E$36,Primitives!$C$38:$E$40,Primitives!$C$42:$E$44,Primitives!$C$46:$E$48,Primitives!$C$50:$E$52,Primitives!$C$54:$E$56,Primitives!$C$58:$E$60),$N23,AM$13))</f>
        <v>1</v>
      </c>
      <c r="AN23" s="64">
        <f>IF(AND($K23=Calc.Top, AN$10=Calc.Left),Player.Direction,INDEX(CHOOSE(INDEX(MazeDef,$L23,AN$11),Primitives!$C$2:$E$4,Primitives!$C$6:$E$8,Primitives!$C$10:$E$12,Primitives!$C$14:$E$16,Primitives!$C$18:$E$20,Primitives!$C$22:$E$24,Primitives!$C$26:$E$28,Primitives!$C$30:$E$32,Primitives!$C$34:$E$36,Primitives!$C$38:$E$40,Primitives!$C$42:$E$44,Primitives!$C$46:$E$48,Primitives!$C$50:$E$52,Primitives!$C$54:$E$56,Primitives!$C$58:$E$60),$N23,AN$13))</f>
        <v>0</v>
      </c>
      <c r="AO23" s="64">
        <f>IF(AND($K23=Calc.Top, AO$10=Calc.Left),Player.Direction,INDEX(CHOOSE(INDEX(MazeDef,$L23,AO$11),Primitives!$C$2:$E$4,Primitives!$C$6:$E$8,Primitives!$C$10:$E$12,Primitives!$C$14:$E$16,Primitives!$C$18:$E$20,Primitives!$C$22:$E$24,Primitives!$C$26:$E$28,Primitives!$C$30:$E$32,Primitives!$C$34:$E$36,Primitives!$C$38:$E$40,Primitives!$C$42:$E$44,Primitives!$C$46:$E$48,Primitives!$C$50:$E$52,Primitives!$C$54:$E$56,Primitives!$C$58:$E$60),$N23,AO$13))</f>
        <v>1</v>
      </c>
      <c r="AP23" s="64">
        <f>IF(AND($K23=Calc.Top, AP$10=Calc.Left),Player.Direction,INDEX(CHOOSE(INDEX(MazeDef,$L23,AP$11),Primitives!$C$2:$E$4,Primitives!$C$6:$E$8,Primitives!$C$10:$E$12,Primitives!$C$14:$E$16,Primitives!$C$18:$E$20,Primitives!$C$22:$E$24,Primitives!$C$26:$E$28,Primitives!$C$30:$E$32,Primitives!$C$34:$E$36,Primitives!$C$38:$E$40,Primitives!$C$42:$E$44,Primitives!$C$46:$E$48,Primitives!$C$50:$E$52,Primitives!$C$54:$E$56,Primitives!$C$58:$E$60),$N23,AP$13))</f>
        <v>1</v>
      </c>
      <c r="AQ23" s="64">
        <f>IF(AND($K23=Calc.Top, AQ$10=Calc.Left),Player.Direction,INDEX(CHOOSE(INDEX(MazeDef,$L23,AQ$11),Primitives!$C$2:$E$4,Primitives!$C$6:$E$8,Primitives!$C$10:$E$12,Primitives!$C$14:$E$16,Primitives!$C$18:$E$20,Primitives!$C$22:$E$24,Primitives!$C$26:$E$28,Primitives!$C$30:$E$32,Primitives!$C$34:$E$36,Primitives!$C$38:$E$40,Primitives!$C$42:$E$44,Primitives!$C$46:$E$48,Primitives!$C$50:$E$52,Primitives!$C$54:$E$56,Primitives!$C$58:$E$60),$N23,AQ$13))</f>
        <v>0</v>
      </c>
      <c r="AR23" s="64">
        <f>IF(AND($K23=Calc.Top, AR$10=Calc.Left),Player.Direction,INDEX(CHOOSE(INDEX(MazeDef,$L23,AR$11),Primitives!$C$2:$E$4,Primitives!$C$6:$E$8,Primitives!$C$10:$E$12,Primitives!$C$14:$E$16,Primitives!$C$18:$E$20,Primitives!$C$22:$E$24,Primitives!$C$26:$E$28,Primitives!$C$30:$E$32,Primitives!$C$34:$E$36,Primitives!$C$38:$E$40,Primitives!$C$42:$E$44,Primitives!$C$46:$E$48,Primitives!$C$50:$E$52,Primitives!$C$54:$E$56,Primitives!$C$58:$E$60),$N23,AR$13))</f>
        <v>1</v>
      </c>
      <c r="AS23" s="2"/>
      <c r="AT23" s="2"/>
      <c r="AU23" s="2"/>
      <c r="AV23" s="2"/>
    </row>
    <row r="24" spans="1:48" ht="9" customHeight="1" x14ac:dyDescent="0.25">
      <c r="A24" s="5"/>
      <c r="B24" s="21">
        <v>1</v>
      </c>
      <c r="C24" s="21"/>
      <c r="D24" s="21">
        <v>1</v>
      </c>
      <c r="E24" s="2"/>
      <c r="F24" s="2"/>
      <c r="G24" s="2"/>
      <c r="H24" s="2"/>
      <c r="I24" s="2"/>
      <c r="J24" s="2"/>
      <c r="K24" s="2">
        <v>11</v>
      </c>
      <c r="L24" s="2">
        <v>4</v>
      </c>
      <c r="M24" s="68"/>
      <c r="N24" s="8">
        <v>2</v>
      </c>
      <c r="O24" s="64">
        <f>IF(AND($K24=Calc.Top, O$10=Calc.Left),Player.Direction,INDEX(CHOOSE(INDEX(MazeDef,$L24,O$11),Primitives!$C$2:$E$4,Primitives!$C$6:$E$8,Primitives!$C$10:$E$12,Primitives!$C$14:$E$16,Primitives!$C$18:$E$20,Primitives!$C$22:$E$24,Primitives!$C$26:$E$28,Primitives!$C$30:$E$32,Primitives!$C$34:$E$36,Primitives!$C$38:$E$40,Primitives!$C$42:$E$44,Primitives!$C$46:$E$48,Primitives!$C$50:$E$52,Primitives!$C$54:$E$56,Primitives!$C$58:$E$60),$N24,O$13))</f>
        <v>1</v>
      </c>
      <c r="P24" s="64">
        <f>IF(AND($K24=Calc.Top, P$10=Calc.Left),Player.Direction,INDEX(CHOOSE(INDEX(MazeDef,$L24,P$11),Primitives!$C$2:$E$4,Primitives!$C$6:$E$8,Primitives!$C$10:$E$12,Primitives!$C$14:$E$16,Primitives!$C$18:$E$20,Primitives!$C$22:$E$24,Primitives!$C$26:$E$28,Primitives!$C$30:$E$32,Primitives!$C$34:$E$36,Primitives!$C$38:$E$40,Primitives!$C$42:$E$44,Primitives!$C$46:$E$48,Primitives!$C$50:$E$52,Primitives!$C$54:$E$56,Primitives!$C$58:$E$60),$N24,P$13))</f>
        <v>0</v>
      </c>
      <c r="Q24" s="64">
        <f>IF(AND($K24=Calc.Top, Q$10=Calc.Left),Player.Direction,INDEX(CHOOSE(INDEX(MazeDef,$L24,Q$11),Primitives!$C$2:$E$4,Primitives!$C$6:$E$8,Primitives!$C$10:$E$12,Primitives!$C$14:$E$16,Primitives!$C$18:$E$20,Primitives!$C$22:$E$24,Primitives!$C$26:$E$28,Primitives!$C$30:$E$32,Primitives!$C$34:$E$36,Primitives!$C$38:$E$40,Primitives!$C$42:$E$44,Primitives!$C$46:$E$48,Primitives!$C$50:$E$52,Primitives!$C$54:$E$56,Primitives!$C$58:$E$60),$N24,Q$13))</f>
        <v>0</v>
      </c>
      <c r="R24" s="64">
        <f>IF(AND($K24=Calc.Top, R$10=Calc.Left),Player.Direction,INDEX(CHOOSE(INDEX(MazeDef,$L24,R$11),Primitives!$C$2:$E$4,Primitives!$C$6:$E$8,Primitives!$C$10:$E$12,Primitives!$C$14:$E$16,Primitives!$C$18:$E$20,Primitives!$C$22:$E$24,Primitives!$C$26:$E$28,Primitives!$C$30:$E$32,Primitives!$C$34:$E$36,Primitives!$C$38:$E$40,Primitives!$C$42:$E$44,Primitives!$C$46:$E$48,Primitives!$C$50:$E$52,Primitives!$C$54:$E$56,Primitives!$C$58:$E$60),$N24,R$13))</f>
        <v>0</v>
      </c>
      <c r="S24" s="64">
        <f>IF(AND($K24=Calc.Top, S$10=Calc.Left),Player.Direction,INDEX(CHOOSE(INDEX(MazeDef,$L24,S$11),Primitives!$C$2:$E$4,Primitives!$C$6:$E$8,Primitives!$C$10:$E$12,Primitives!$C$14:$E$16,Primitives!$C$18:$E$20,Primitives!$C$22:$E$24,Primitives!$C$26:$E$28,Primitives!$C$30:$E$32,Primitives!$C$34:$E$36,Primitives!$C$38:$E$40,Primitives!$C$42:$E$44,Primitives!$C$46:$E$48,Primitives!$C$50:$E$52,Primitives!$C$54:$E$56,Primitives!$C$58:$E$60),$N24,S$13))</f>
        <v>0</v>
      </c>
      <c r="T24" s="64">
        <f>IF(AND($K24=Calc.Top, T$10=Calc.Left),Player.Direction,INDEX(CHOOSE(INDEX(MazeDef,$L24,T$11),Primitives!$C$2:$E$4,Primitives!$C$6:$E$8,Primitives!$C$10:$E$12,Primitives!$C$14:$E$16,Primitives!$C$18:$E$20,Primitives!$C$22:$E$24,Primitives!$C$26:$E$28,Primitives!$C$30:$E$32,Primitives!$C$34:$E$36,Primitives!$C$38:$E$40,Primitives!$C$42:$E$44,Primitives!$C$46:$E$48,Primitives!$C$50:$E$52,Primitives!$C$54:$E$56,Primitives!$C$58:$E$60),$N24,T$13))</f>
        <v>1</v>
      </c>
      <c r="U24" s="64">
        <f>IF(AND($K24=Calc.Top, U$10=Calc.Left),Player.Direction,INDEX(CHOOSE(INDEX(MazeDef,$L24,U$11),Primitives!$C$2:$E$4,Primitives!$C$6:$E$8,Primitives!$C$10:$E$12,Primitives!$C$14:$E$16,Primitives!$C$18:$E$20,Primitives!$C$22:$E$24,Primitives!$C$26:$E$28,Primitives!$C$30:$E$32,Primitives!$C$34:$E$36,Primitives!$C$38:$E$40,Primitives!$C$42:$E$44,Primitives!$C$46:$E$48,Primitives!$C$50:$E$52,Primitives!$C$54:$E$56,Primitives!$C$58:$E$60),$N24,U$13))</f>
        <v>1</v>
      </c>
      <c r="V24" s="64">
        <f>IF(AND($K24=Calc.Top, V$10=Calc.Left),Player.Direction,INDEX(CHOOSE(INDEX(MazeDef,$L24,V$11),Primitives!$C$2:$E$4,Primitives!$C$6:$E$8,Primitives!$C$10:$E$12,Primitives!$C$14:$E$16,Primitives!$C$18:$E$20,Primitives!$C$22:$E$24,Primitives!$C$26:$E$28,Primitives!$C$30:$E$32,Primitives!$C$34:$E$36,Primitives!$C$38:$E$40,Primitives!$C$42:$E$44,Primitives!$C$46:$E$48,Primitives!$C$50:$E$52,Primitives!$C$54:$E$56,Primitives!$C$58:$E$60),$N24,V$13))</f>
        <v>0</v>
      </c>
      <c r="W24" s="64">
        <f>IF(AND($K24=Calc.Top, W$10=Calc.Left),Player.Direction,INDEX(CHOOSE(INDEX(MazeDef,$L24,W$11),Primitives!$C$2:$E$4,Primitives!$C$6:$E$8,Primitives!$C$10:$E$12,Primitives!$C$14:$E$16,Primitives!$C$18:$E$20,Primitives!$C$22:$E$24,Primitives!$C$26:$E$28,Primitives!$C$30:$E$32,Primitives!$C$34:$E$36,Primitives!$C$38:$E$40,Primitives!$C$42:$E$44,Primitives!$C$46:$E$48,Primitives!$C$50:$E$52,Primitives!$C$54:$E$56,Primitives!$C$58:$E$60),$N24,W$13))</f>
        <v>1</v>
      </c>
      <c r="X24" s="64">
        <f>IF(AND($K24=Calc.Top, X$10=Calc.Left),Player.Direction,INDEX(CHOOSE(INDEX(MazeDef,$L24,X$11),Primitives!$C$2:$E$4,Primitives!$C$6:$E$8,Primitives!$C$10:$E$12,Primitives!$C$14:$E$16,Primitives!$C$18:$E$20,Primitives!$C$22:$E$24,Primitives!$C$26:$E$28,Primitives!$C$30:$E$32,Primitives!$C$34:$E$36,Primitives!$C$38:$E$40,Primitives!$C$42:$E$44,Primitives!$C$46:$E$48,Primitives!$C$50:$E$52,Primitives!$C$54:$E$56,Primitives!$C$58:$E$60),$N24,X$13))</f>
        <v>1</v>
      </c>
      <c r="Y24" s="64">
        <f>IF(AND($K24=Calc.Top, Y$10=Calc.Left),Player.Direction,INDEX(CHOOSE(INDEX(MazeDef,$L24,Y$11),Primitives!$C$2:$E$4,Primitives!$C$6:$E$8,Primitives!$C$10:$E$12,Primitives!$C$14:$E$16,Primitives!$C$18:$E$20,Primitives!$C$22:$E$24,Primitives!$C$26:$E$28,Primitives!$C$30:$E$32,Primitives!$C$34:$E$36,Primitives!$C$38:$E$40,Primitives!$C$42:$E$44,Primitives!$C$46:$E$48,Primitives!$C$50:$E$52,Primitives!$C$54:$E$56,Primitives!$C$58:$E$60),$N24,Y$13))</f>
        <v>0</v>
      </c>
      <c r="Z24" s="64">
        <f>IF(AND($K24=Calc.Top, Z$10=Calc.Left),Player.Direction,INDEX(CHOOSE(INDEX(MazeDef,$L24,Z$11),Primitives!$C$2:$E$4,Primitives!$C$6:$E$8,Primitives!$C$10:$E$12,Primitives!$C$14:$E$16,Primitives!$C$18:$E$20,Primitives!$C$22:$E$24,Primitives!$C$26:$E$28,Primitives!$C$30:$E$32,Primitives!$C$34:$E$36,Primitives!$C$38:$E$40,Primitives!$C$42:$E$44,Primitives!$C$46:$E$48,Primitives!$C$50:$E$52,Primitives!$C$54:$E$56,Primitives!$C$58:$E$60),$N24,Z$13))</f>
        <v>1</v>
      </c>
      <c r="AA24" s="64">
        <f>IF(AND($K24=Calc.Top, AA$10=Calc.Left),Player.Direction,INDEX(CHOOSE(INDEX(MazeDef,$L24,AA$11),Primitives!$C$2:$E$4,Primitives!$C$6:$E$8,Primitives!$C$10:$E$12,Primitives!$C$14:$E$16,Primitives!$C$18:$E$20,Primitives!$C$22:$E$24,Primitives!$C$26:$E$28,Primitives!$C$30:$E$32,Primitives!$C$34:$E$36,Primitives!$C$38:$E$40,Primitives!$C$42:$E$44,Primitives!$C$46:$E$48,Primitives!$C$50:$E$52,Primitives!$C$54:$E$56,Primitives!$C$58:$E$60),$N24,AA$13))</f>
        <v>1</v>
      </c>
      <c r="AB24" s="64">
        <f>IF(AND($K24=Calc.Top, AB$10=Calc.Left),Player.Direction,INDEX(CHOOSE(INDEX(MazeDef,$L24,AB$11),Primitives!$C$2:$E$4,Primitives!$C$6:$E$8,Primitives!$C$10:$E$12,Primitives!$C$14:$E$16,Primitives!$C$18:$E$20,Primitives!$C$22:$E$24,Primitives!$C$26:$E$28,Primitives!$C$30:$E$32,Primitives!$C$34:$E$36,Primitives!$C$38:$E$40,Primitives!$C$42:$E$44,Primitives!$C$46:$E$48,Primitives!$C$50:$E$52,Primitives!$C$54:$E$56,Primitives!$C$58:$E$60),$N24,AB$13))</f>
        <v>0</v>
      </c>
      <c r="AC24" s="64">
        <f>IF(AND($K24=Calc.Top, AC$10=Calc.Left),Player.Direction,INDEX(CHOOSE(INDEX(MazeDef,$L24,AC$11),Primitives!$C$2:$E$4,Primitives!$C$6:$E$8,Primitives!$C$10:$E$12,Primitives!$C$14:$E$16,Primitives!$C$18:$E$20,Primitives!$C$22:$E$24,Primitives!$C$26:$E$28,Primitives!$C$30:$E$32,Primitives!$C$34:$E$36,Primitives!$C$38:$E$40,Primitives!$C$42:$E$44,Primitives!$C$46:$E$48,Primitives!$C$50:$E$52,Primitives!$C$54:$E$56,Primitives!$C$58:$E$60),$N24,AC$13))</f>
        <v>0</v>
      </c>
      <c r="AD24" s="64">
        <f>IF(AND($K24=Calc.Top, AD$10=Calc.Left),Player.Direction,INDEX(CHOOSE(INDEX(MazeDef,$L24,AD$11),Primitives!$C$2:$E$4,Primitives!$C$6:$E$8,Primitives!$C$10:$E$12,Primitives!$C$14:$E$16,Primitives!$C$18:$E$20,Primitives!$C$22:$E$24,Primitives!$C$26:$E$28,Primitives!$C$30:$E$32,Primitives!$C$34:$E$36,Primitives!$C$38:$E$40,Primitives!$C$42:$E$44,Primitives!$C$46:$E$48,Primitives!$C$50:$E$52,Primitives!$C$54:$E$56,Primitives!$C$58:$E$60),$N24,AD$13))</f>
        <v>0</v>
      </c>
      <c r="AE24" s="64">
        <f>IF(AND($K24=Calc.Top, AE$10=Calc.Left),Player.Direction,INDEX(CHOOSE(INDEX(MazeDef,$L24,AE$11),Primitives!$C$2:$E$4,Primitives!$C$6:$E$8,Primitives!$C$10:$E$12,Primitives!$C$14:$E$16,Primitives!$C$18:$E$20,Primitives!$C$22:$E$24,Primitives!$C$26:$E$28,Primitives!$C$30:$E$32,Primitives!$C$34:$E$36,Primitives!$C$38:$E$40,Primitives!$C$42:$E$44,Primitives!$C$46:$E$48,Primitives!$C$50:$E$52,Primitives!$C$54:$E$56,Primitives!$C$58:$E$60),$N24,AE$13))</f>
        <v>0</v>
      </c>
      <c r="AF24" s="64">
        <f>IF(AND($K24=Calc.Top, AF$10=Calc.Left),Player.Direction,INDEX(CHOOSE(INDEX(MazeDef,$L24,AF$11),Primitives!$C$2:$E$4,Primitives!$C$6:$E$8,Primitives!$C$10:$E$12,Primitives!$C$14:$E$16,Primitives!$C$18:$E$20,Primitives!$C$22:$E$24,Primitives!$C$26:$E$28,Primitives!$C$30:$E$32,Primitives!$C$34:$E$36,Primitives!$C$38:$E$40,Primitives!$C$42:$E$44,Primitives!$C$46:$E$48,Primitives!$C$50:$E$52,Primitives!$C$54:$E$56,Primitives!$C$58:$E$60),$N24,AF$13))</f>
        <v>0</v>
      </c>
      <c r="AG24" s="64">
        <f>IF(AND($K24=Calc.Top, AG$10=Calc.Left),Player.Direction,INDEX(CHOOSE(INDEX(MazeDef,$L24,AG$11),Primitives!$C$2:$E$4,Primitives!$C$6:$E$8,Primitives!$C$10:$E$12,Primitives!$C$14:$E$16,Primitives!$C$18:$E$20,Primitives!$C$22:$E$24,Primitives!$C$26:$E$28,Primitives!$C$30:$E$32,Primitives!$C$34:$E$36,Primitives!$C$38:$E$40,Primitives!$C$42:$E$44,Primitives!$C$46:$E$48,Primitives!$C$50:$E$52,Primitives!$C$54:$E$56,Primitives!$C$58:$E$60),$N24,AG$13))</f>
        <v>0</v>
      </c>
      <c r="AH24" s="64">
        <f>IF(AND($K24=Calc.Top, AH$10=Calc.Left),Player.Direction,INDEX(CHOOSE(INDEX(MazeDef,$L24,AH$11),Primitives!$C$2:$E$4,Primitives!$C$6:$E$8,Primitives!$C$10:$E$12,Primitives!$C$14:$E$16,Primitives!$C$18:$E$20,Primitives!$C$22:$E$24,Primitives!$C$26:$E$28,Primitives!$C$30:$E$32,Primitives!$C$34:$E$36,Primitives!$C$38:$E$40,Primitives!$C$42:$E$44,Primitives!$C$46:$E$48,Primitives!$C$50:$E$52,Primitives!$C$54:$E$56,Primitives!$C$58:$E$60),$N24,AH$13))</f>
        <v>0</v>
      </c>
      <c r="AI24" s="64">
        <f>IF(AND($K24=Calc.Top, AI$10=Calc.Left),Player.Direction,INDEX(CHOOSE(INDEX(MazeDef,$L24,AI$11),Primitives!$C$2:$E$4,Primitives!$C$6:$E$8,Primitives!$C$10:$E$12,Primitives!$C$14:$E$16,Primitives!$C$18:$E$20,Primitives!$C$22:$E$24,Primitives!$C$26:$E$28,Primitives!$C$30:$E$32,Primitives!$C$34:$E$36,Primitives!$C$38:$E$40,Primitives!$C$42:$E$44,Primitives!$C$46:$E$48,Primitives!$C$50:$E$52,Primitives!$C$54:$E$56,Primitives!$C$58:$E$60),$N24,AI$13))</f>
        <v>0</v>
      </c>
      <c r="AJ24" s="64">
        <f>IF(AND($K24=Calc.Top, AJ$10=Calc.Left),Player.Direction,INDEX(CHOOSE(INDEX(MazeDef,$L24,AJ$11),Primitives!$C$2:$E$4,Primitives!$C$6:$E$8,Primitives!$C$10:$E$12,Primitives!$C$14:$E$16,Primitives!$C$18:$E$20,Primitives!$C$22:$E$24,Primitives!$C$26:$E$28,Primitives!$C$30:$E$32,Primitives!$C$34:$E$36,Primitives!$C$38:$E$40,Primitives!$C$42:$E$44,Primitives!$C$46:$E$48,Primitives!$C$50:$E$52,Primitives!$C$54:$E$56,Primitives!$C$58:$E$60),$N24,AJ$13))</f>
        <v>0</v>
      </c>
      <c r="AK24" s="64">
        <f>IF(AND($K24=Calc.Top, AK$10=Calc.Left),Player.Direction,INDEX(CHOOSE(INDEX(MazeDef,$L24,AK$11),Primitives!$C$2:$E$4,Primitives!$C$6:$E$8,Primitives!$C$10:$E$12,Primitives!$C$14:$E$16,Primitives!$C$18:$E$20,Primitives!$C$22:$E$24,Primitives!$C$26:$E$28,Primitives!$C$30:$E$32,Primitives!$C$34:$E$36,Primitives!$C$38:$E$40,Primitives!$C$42:$E$44,Primitives!$C$46:$E$48,Primitives!$C$50:$E$52,Primitives!$C$54:$E$56,Primitives!$C$58:$E$60),$N24,AK$13))</f>
        <v>0</v>
      </c>
      <c r="AL24" s="64">
        <f>IF(AND($K24=Calc.Top, AL$10=Calc.Left),Player.Direction,INDEX(CHOOSE(INDEX(MazeDef,$L24,AL$11),Primitives!$C$2:$E$4,Primitives!$C$6:$E$8,Primitives!$C$10:$E$12,Primitives!$C$14:$E$16,Primitives!$C$18:$E$20,Primitives!$C$22:$E$24,Primitives!$C$26:$E$28,Primitives!$C$30:$E$32,Primitives!$C$34:$E$36,Primitives!$C$38:$E$40,Primitives!$C$42:$E$44,Primitives!$C$46:$E$48,Primitives!$C$50:$E$52,Primitives!$C$54:$E$56,Primitives!$C$58:$E$60),$N24,AL$13))</f>
        <v>1</v>
      </c>
      <c r="AM24" s="64">
        <f>IF(AND($K24=Calc.Top, AM$10=Calc.Left),Player.Direction,INDEX(CHOOSE(INDEX(MazeDef,$L24,AM$11),Primitives!$C$2:$E$4,Primitives!$C$6:$E$8,Primitives!$C$10:$E$12,Primitives!$C$14:$E$16,Primitives!$C$18:$E$20,Primitives!$C$22:$E$24,Primitives!$C$26:$E$28,Primitives!$C$30:$E$32,Primitives!$C$34:$E$36,Primitives!$C$38:$E$40,Primitives!$C$42:$E$44,Primitives!$C$46:$E$48,Primitives!$C$50:$E$52,Primitives!$C$54:$E$56,Primitives!$C$58:$E$60),$N24,AM$13))</f>
        <v>1</v>
      </c>
      <c r="AN24" s="64">
        <f>IF(AND($K24=Calc.Top, AN$10=Calc.Left),Player.Direction,INDEX(CHOOSE(INDEX(MazeDef,$L24,AN$11),Primitives!$C$2:$E$4,Primitives!$C$6:$E$8,Primitives!$C$10:$E$12,Primitives!$C$14:$E$16,Primitives!$C$18:$E$20,Primitives!$C$22:$E$24,Primitives!$C$26:$E$28,Primitives!$C$30:$E$32,Primitives!$C$34:$E$36,Primitives!$C$38:$E$40,Primitives!$C$42:$E$44,Primitives!$C$46:$E$48,Primitives!$C$50:$E$52,Primitives!$C$54:$E$56,Primitives!$C$58:$E$60),$N24,AN$13))</f>
        <v>0</v>
      </c>
      <c r="AO24" s="64">
        <f>IF(AND($K24=Calc.Top, AO$10=Calc.Left),Player.Direction,INDEX(CHOOSE(INDEX(MazeDef,$L24,AO$11),Primitives!$C$2:$E$4,Primitives!$C$6:$E$8,Primitives!$C$10:$E$12,Primitives!$C$14:$E$16,Primitives!$C$18:$E$20,Primitives!$C$22:$E$24,Primitives!$C$26:$E$28,Primitives!$C$30:$E$32,Primitives!$C$34:$E$36,Primitives!$C$38:$E$40,Primitives!$C$42:$E$44,Primitives!$C$46:$E$48,Primitives!$C$50:$E$52,Primitives!$C$54:$E$56,Primitives!$C$58:$E$60),$N24,AO$13))</f>
        <v>1</v>
      </c>
      <c r="AP24" s="64">
        <f>IF(AND($K24=Calc.Top, AP$10=Calc.Left),Player.Direction,INDEX(CHOOSE(INDEX(MazeDef,$L24,AP$11),Primitives!$C$2:$E$4,Primitives!$C$6:$E$8,Primitives!$C$10:$E$12,Primitives!$C$14:$E$16,Primitives!$C$18:$E$20,Primitives!$C$22:$E$24,Primitives!$C$26:$E$28,Primitives!$C$30:$E$32,Primitives!$C$34:$E$36,Primitives!$C$38:$E$40,Primitives!$C$42:$E$44,Primitives!$C$46:$E$48,Primitives!$C$50:$E$52,Primitives!$C$54:$E$56,Primitives!$C$58:$E$60),$N24,AP$13))</f>
        <v>1</v>
      </c>
      <c r="AQ24" s="64">
        <f>IF(AND($K24=Calc.Top, AQ$10=Calc.Left),Player.Direction,INDEX(CHOOSE(INDEX(MazeDef,$L24,AQ$11),Primitives!$C$2:$E$4,Primitives!$C$6:$E$8,Primitives!$C$10:$E$12,Primitives!$C$14:$E$16,Primitives!$C$18:$E$20,Primitives!$C$22:$E$24,Primitives!$C$26:$E$28,Primitives!$C$30:$E$32,Primitives!$C$34:$E$36,Primitives!$C$38:$E$40,Primitives!$C$42:$E$44,Primitives!$C$46:$E$48,Primitives!$C$50:$E$52,Primitives!$C$54:$E$56,Primitives!$C$58:$E$60),$N24,AQ$13))</f>
        <v>0</v>
      </c>
      <c r="AR24" s="64">
        <f>IF(AND($K24=Calc.Top, AR$10=Calc.Left),Player.Direction,INDEX(CHOOSE(INDEX(MazeDef,$L24,AR$11),Primitives!$C$2:$E$4,Primitives!$C$6:$E$8,Primitives!$C$10:$E$12,Primitives!$C$14:$E$16,Primitives!$C$18:$E$20,Primitives!$C$22:$E$24,Primitives!$C$26:$E$28,Primitives!$C$30:$E$32,Primitives!$C$34:$E$36,Primitives!$C$38:$E$40,Primitives!$C$42:$E$44,Primitives!$C$46:$E$48,Primitives!$C$50:$E$52,Primitives!$C$54:$E$56,Primitives!$C$58:$E$60),$N24,AR$13))</f>
        <v>1</v>
      </c>
      <c r="AS24" s="2"/>
      <c r="AT24" s="2"/>
      <c r="AU24" s="2"/>
      <c r="AV24" s="2"/>
    </row>
    <row r="25" spans="1:48" ht="9" customHeight="1" x14ac:dyDescent="0.25">
      <c r="A25" s="5"/>
      <c r="B25" s="21"/>
      <c r="C25" s="21"/>
      <c r="D25" s="21"/>
      <c r="E25" s="2"/>
      <c r="F25" s="2"/>
      <c r="G25" s="2"/>
      <c r="H25" s="2"/>
      <c r="I25" s="2"/>
      <c r="J25" s="2"/>
      <c r="K25" s="2">
        <v>12</v>
      </c>
      <c r="L25" s="2">
        <v>4</v>
      </c>
      <c r="M25" s="69"/>
      <c r="N25" s="9">
        <v>3</v>
      </c>
      <c r="O25" s="64">
        <f>IF(AND($K25=Calc.Top, O$10=Calc.Left),Player.Direction,INDEX(CHOOSE(INDEX(MazeDef,$L25,O$11),Primitives!$C$2:$E$4,Primitives!$C$6:$E$8,Primitives!$C$10:$E$12,Primitives!$C$14:$E$16,Primitives!$C$18:$E$20,Primitives!$C$22:$E$24,Primitives!$C$26:$E$28,Primitives!$C$30:$E$32,Primitives!$C$34:$E$36,Primitives!$C$38:$E$40,Primitives!$C$42:$E$44,Primitives!$C$46:$E$48,Primitives!$C$50:$E$52,Primitives!$C$54:$E$56,Primitives!$C$58:$E$60),$N25,O$13))</f>
        <v>1</v>
      </c>
      <c r="P25" s="64">
        <f>IF(AND($K25=Calc.Top, P$10=Calc.Left),Player.Direction,INDEX(CHOOSE(INDEX(MazeDef,$L25,P$11),Primitives!$C$2:$E$4,Primitives!$C$6:$E$8,Primitives!$C$10:$E$12,Primitives!$C$14:$E$16,Primitives!$C$18:$E$20,Primitives!$C$22:$E$24,Primitives!$C$26:$E$28,Primitives!$C$30:$E$32,Primitives!$C$34:$E$36,Primitives!$C$38:$E$40,Primitives!$C$42:$E$44,Primitives!$C$46:$E$48,Primitives!$C$50:$E$52,Primitives!$C$54:$E$56,Primitives!$C$58:$E$60),$N25,P$13))</f>
        <v>0</v>
      </c>
      <c r="Q25" s="64">
        <f>IF(AND($K25=Calc.Top, Q$10=Calc.Left),Player.Direction,INDEX(CHOOSE(INDEX(MazeDef,$L25,Q$11),Primitives!$C$2:$E$4,Primitives!$C$6:$E$8,Primitives!$C$10:$E$12,Primitives!$C$14:$E$16,Primitives!$C$18:$E$20,Primitives!$C$22:$E$24,Primitives!$C$26:$E$28,Primitives!$C$30:$E$32,Primitives!$C$34:$E$36,Primitives!$C$38:$E$40,Primitives!$C$42:$E$44,Primitives!$C$46:$E$48,Primitives!$C$50:$E$52,Primitives!$C$54:$E$56,Primitives!$C$58:$E$60),$N25,Q$13))</f>
        <v>1</v>
      </c>
      <c r="R25" s="64">
        <f>IF(AND($K25=Calc.Top, R$10=Calc.Left),Player.Direction,INDEX(CHOOSE(INDEX(MazeDef,$L25,R$11),Primitives!$C$2:$E$4,Primitives!$C$6:$E$8,Primitives!$C$10:$E$12,Primitives!$C$14:$E$16,Primitives!$C$18:$E$20,Primitives!$C$22:$E$24,Primitives!$C$26:$E$28,Primitives!$C$30:$E$32,Primitives!$C$34:$E$36,Primitives!$C$38:$E$40,Primitives!$C$42:$E$44,Primitives!$C$46:$E$48,Primitives!$C$50:$E$52,Primitives!$C$54:$E$56,Primitives!$C$58:$E$60),$N25,R$13))</f>
        <v>1</v>
      </c>
      <c r="S25" s="64">
        <f>IF(AND($K25=Calc.Top, S$10=Calc.Left),Player.Direction,INDEX(CHOOSE(INDEX(MazeDef,$L25,S$11),Primitives!$C$2:$E$4,Primitives!$C$6:$E$8,Primitives!$C$10:$E$12,Primitives!$C$14:$E$16,Primitives!$C$18:$E$20,Primitives!$C$22:$E$24,Primitives!$C$26:$E$28,Primitives!$C$30:$E$32,Primitives!$C$34:$E$36,Primitives!$C$38:$E$40,Primitives!$C$42:$E$44,Primitives!$C$46:$E$48,Primitives!$C$50:$E$52,Primitives!$C$54:$E$56,Primitives!$C$58:$E$60),$N25,S$13))</f>
        <v>0</v>
      </c>
      <c r="T25" s="64">
        <f>IF(AND($K25=Calc.Top, T$10=Calc.Left),Player.Direction,INDEX(CHOOSE(INDEX(MazeDef,$L25,T$11),Primitives!$C$2:$E$4,Primitives!$C$6:$E$8,Primitives!$C$10:$E$12,Primitives!$C$14:$E$16,Primitives!$C$18:$E$20,Primitives!$C$22:$E$24,Primitives!$C$26:$E$28,Primitives!$C$30:$E$32,Primitives!$C$34:$E$36,Primitives!$C$38:$E$40,Primitives!$C$42:$E$44,Primitives!$C$46:$E$48,Primitives!$C$50:$E$52,Primitives!$C$54:$E$56,Primitives!$C$58:$E$60),$N25,T$13))</f>
        <v>1</v>
      </c>
      <c r="U25" s="64">
        <f>IF(AND($K25=Calc.Top, U$10=Calc.Left),Player.Direction,INDEX(CHOOSE(INDEX(MazeDef,$L25,U$11),Primitives!$C$2:$E$4,Primitives!$C$6:$E$8,Primitives!$C$10:$E$12,Primitives!$C$14:$E$16,Primitives!$C$18:$E$20,Primitives!$C$22:$E$24,Primitives!$C$26:$E$28,Primitives!$C$30:$E$32,Primitives!$C$34:$E$36,Primitives!$C$38:$E$40,Primitives!$C$42:$E$44,Primitives!$C$46:$E$48,Primitives!$C$50:$E$52,Primitives!$C$54:$E$56,Primitives!$C$58:$E$60),$N25,U$13))</f>
        <v>1</v>
      </c>
      <c r="V25" s="64">
        <f>IF(AND($K25=Calc.Top, V$10=Calc.Left),Player.Direction,INDEX(CHOOSE(INDEX(MazeDef,$L25,V$11),Primitives!$C$2:$E$4,Primitives!$C$6:$E$8,Primitives!$C$10:$E$12,Primitives!$C$14:$E$16,Primitives!$C$18:$E$20,Primitives!$C$22:$E$24,Primitives!$C$26:$E$28,Primitives!$C$30:$E$32,Primitives!$C$34:$E$36,Primitives!$C$38:$E$40,Primitives!$C$42:$E$44,Primitives!$C$46:$E$48,Primitives!$C$50:$E$52,Primitives!$C$54:$E$56,Primitives!$C$58:$E$60),$N25,V$13))</f>
        <v>0</v>
      </c>
      <c r="W25" s="64">
        <f>IF(AND($K25=Calc.Top, W$10=Calc.Left),Player.Direction,INDEX(CHOOSE(INDEX(MazeDef,$L25,W$11),Primitives!$C$2:$E$4,Primitives!$C$6:$E$8,Primitives!$C$10:$E$12,Primitives!$C$14:$E$16,Primitives!$C$18:$E$20,Primitives!$C$22:$E$24,Primitives!$C$26:$E$28,Primitives!$C$30:$E$32,Primitives!$C$34:$E$36,Primitives!$C$38:$E$40,Primitives!$C$42:$E$44,Primitives!$C$46:$E$48,Primitives!$C$50:$E$52,Primitives!$C$54:$E$56,Primitives!$C$58:$E$60),$N25,W$13))</f>
        <v>1</v>
      </c>
      <c r="X25" s="64">
        <f>IF(AND($K25=Calc.Top, X$10=Calc.Left),Player.Direction,INDEX(CHOOSE(INDEX(MazeDef,$L25,X$11),Primitives!$C$2:$E$4,Primitives!$C$6:$E$8,Primitives!$C$10:$E$12,Primitives!$C$14:$E$16,Primitives!$C$18:$E$20,Primitives!$C$22:$E$24,Primitives!$C$26:$E$28,Primitives!$C$30:$E$32,Primitives!$C$34:$E$36,Primitives!$C$38:$E$40,Primitives!$C$42:$E$44,Primitives!$C$46:$E$48,Primitives!$C$50:$E$52,Primitives!$C$54:$E$56,Primitives!$C$58:$E$60),$N25,X$13))</f>
        <v>1</v>
      </c>
      <c r="Y25" s="64">
        <f>IF(AND($K25=Calc.Top, Y$10=Calc.Left),Player.Direction,INDEX(CHOOSE(INDEX(MazeDef,$L25,Y$11),Primitives!$C$2:$E$4,Primitives!$C$6:$E$8,Primitives!$C$10:$E$12,Primitives!$C$14:$E$16,Primitives!$C$18:$E$20,Primitives!$C$22:$E$24,Primitives!$C$26:$E$28,Primitives!$C$30:$E$32,Primitives!$C$34:$E$36,Primitives!$C$38:$E$40,Primitives!$C$42:$E$44,Primitives!$C$46:$E$48,Primitives!$C$50:$E$52,Primitives!$C$54:$E$56,Primitives!$C$58:$E$60),$N25,Y$13))</f>
        <v>0</v>
      </c>
      <c r="Z25" s="64">
        <f>IF(AND($K25=Calc.Top, Z$10=Calc.Left),Player.Direction,INDEX(CHOOSE(INDEX(MazeDef,$L25,Z$11),Primitives!$C$2:$E$4,Primitives!$C$6:$E$8,Primitives!$C$10:$E$12,Primitives!$C$14:$E$16,Primitives!$C$18:$E$20,Primitives!$C$22:$E$24,Primitives!$C$26:$E$28,Primitives!$C$30:$E$32,Primitives!$C$34:$E$36,Primitives!$C$38:$E$40,Primitives!$C$42:$E$44,Primitives!$C$46:$E$48,Primitives!$C$50:$E$52,Primitives!$C$54:$E$56,Primitives!$C$58:$E$60),$N25,Z$13))</f>
        <v>1</v>
      </c>
      <c r="AA25" s="64">
        <f>IF(AND($K25=Calc.Top, AA$10=Calc.Left),Player.Direction,INDEX(CHOOSE(INDEX(MazeDef,$L25,AA$11),Primitives!$C$2:$E$4,Primitives!$C$6:$E$8,Primitives!$C$10:$E$12,Primitives!$C$14:$E$16,Primitives!$C$18:$E$20,Primitives!$C$22:$E$24,Primitives!$C$26:$E$28,Primitives!$C$30:$E$32,Primitives!$C$34:$E$36,Primitives!$C$38:$E$40,Primitives!$C$42:$E$44,Primitives!$C$46:$E$48,Primitives!$C$50:$E$52,Primitives!$C$54:$E$56,Primitives!$C$58:$E$60),$N25,AA$13))</f>
        <v>1</v>
      </c>
      <c r="AB25" s="64">
        <f>IF(AND($K25=Calc.Top, AB$10=Calc.Left),Player.Direction,INDEX(CHOOSE(INDEX(MazeDef,$L25,AB$11),Primitives!$C$2:$E$4,Primitives!$C$6:$E$8,Primitives!$C$10:$E$12,Primitives!$C$14:$E$16,Primitives!$C$18:$E$20,Primitives!$C$22:$E$24,Primitives!$C$26:$E$28,Primitives!$C$30:$E$32,Primitives!$C$34:$E$36,Primitives!$C$38:$E$40,Primitives!$C$42:$E$44,Primitives!$C$46:$E$48,Primitives!$C$50:$E$52,Primitives!$C$54:$E$56,Primitives!$C$58:$E$60),$N25,AB$13))</f>
        <v>0</v>
      </c>
      <c r="AC25" s="64">
        <f>IF(AND($K25=Calc.Top, AC$10=Calc.Left),Player.Direction,INDEX(CHOOSE(INDEX(MazeDef,$L25,AC$11),Primitives!$C$2:$E$4,Primitives!$C$6:$E$8,Primitives!$C$10:$E$12,Primitives!$C$14:$E$16,Primitives!$C$18:$E$20,Primitives!$C$22:$E$24,Primitives!$C$26:$E$28,Primitives!$C$30:$E$32,Primitives!$C$34:$E$36,Primitives!$C$38:$E$40,Primitives!$C$42:$E$44,Primitives!$C$46:$E$48,Primitives!$C$50:$E$52,Primitives!$C$54:$E$56,Primitives!$C$58:$E$60),$N25,AC$13))</f>
        <v>1</v>
      </c>
      <c r="AD25" s="64">
        <f>IF(AND($K25=Calc.Top, AD$10=Calc.Left),Player.Direction,INDEX(CHOOSE(INDEX(MazeDef,$L25,AD$11),Primitives!$C$2:$E$4,Primitives!$C$6:$E$8,Primitives!$C$10:$E$12,Primitives!$C$14:$E$16,Primitives!$C$18:$E$20,Primitives!$C$22:$E$24,Primitives!$C$26:$E$28,Primitives!$C$30:$E$32,Primitives!$C$34:$E$36,Primitives!$C$38:$E$40,Primitives!$C$42:$E$44,Primitives!$C$46:$E$48,Primitives!$C$50:$E$52,Primitives!$C$54:$E$56,Primitives!$C$58:$E$60),$N25,AD$13))</f>
        <v>1</v>
      </c>
      <c r="AE25" s="64">
        <f>IF(AND($K25=Calc.Top, AE$10=Calc.Left),Player.Direction,INDEX(CHOOSE(INDEX(MazeDef,$L25,AE$11),Primitives!$C$2:$E$4,Primitives!$C$6:$E$8,Primitives!$C$10:$E$12,Primitives!$C$14:$E$16,Primitives!$C$18:$E$20,Primitives!$C$22:$E$24,Primitives!$C$26:$E$28,Primitives!$C$30:$E$32,Primitives!$C$34:$E$36,Primitives!$C$38:$E$40,Primitives!$C$42:$E$44,Primitives!$C$46:$E$48,Primitives!$C$50:$E$52,Primitives!$C$54:$E$56,Primitives!$C$58:$E$60),$N25,AE$13))</f>
        <v>1</v>
      </c>
      <c r="AF25" s="64">
        <f>IF(AND($K25=Calc.Top, AF$10=Calc.Left),Player.Direction,INDEX(CHOOSE(INDEX(MazeDef,$L25,AF$11),Primitives!$C$2:$E$4,Primitives!$C$6:$E$8,Primitives!$C$10:$E$12,Primitives!$C$14:$E$16,Primitives!$C$18:$E$20,Primitives!$C$22:$E$24,Primitives!$C$26:$E$28,Primitives!$C$30:$E$32,Primitives!$C$34:$E$36,Primitives!$C$38:$E$40,Primitives!$C$42:$E$44,Primitives!$C$46:$E$48,Primitives!$C$50:$E$52,Primitives!$C$54:$E$56,Primitives!$C$58:$E$60),$N25,AF$13))</f>
        <v>1</v>
      </c>
      <c r="AG25" s="64">
        <f>IF(AND($K25=Calc.Top, AG$10=Calc.Left),Player.Direction,INDEX(CHOOSE(INDEX(MazeDef,$L25,AG$11),Primitives!$C$2:$E$4,Primitives!$C$6:$E$8,Primitives!$C$10:$E$12,Primitives!$C$14:$E$16,Primitives!$C$18:$E$20,Primitives!$C$22:$E$24,Primitives!$C$26:$E$28,Primitives!$C$30:$E$32,Primitives!$C$34:$E$36,Primitives!$C$38:$E$40,Primitives!$C$42:$E$44,Primitives!$C$46:$E$48,Primitives!$C$50:$E$52,Primitives!$C$54:$E$56,Primitives!$C$58:$E$60),$N25,AG$13))</f>
        <v>1</v>
      </c>
      <c r="AH25" s="64">
        <f>IF(AND($K25=Calc.Top, AH$10=Calc.Left),Player.Direction,INDEX(CHOOSE(INDEX(MazeDef,$L25,AH$11),Primitives!$C$2:$E$4,Primitives!$C$6:$E$8,Primitives!$C$10:$E$12,Primitives!$C$14:$E$16,Primitives!$C$18:$E$20,Primitives!$C$22:$E$24,Primitives!$C$26:$E$28,Primitives!$C$30:$E$32,Primitives!$C$34:$E$36,Primitives!$C$38:$E$40,Primitives!$C$42:$E$44,Primitives!$C$46:$E$48,Primitives!$C$50:$E$52,Primitives!$C$54:$E$56,Primitives!$C$58:$E$60),$N25,AH$13))</f>
        <v>1</v>
      </c>
      <c r="AI25" s="64">
        <f>IF(AND($K25=Calc.Top, AI$10=Calc.Left),Player.Direction,INDEX(CHOOSE(INDEX(MazeDef,$L25,AI$11),Primitives!$C$2:$E$4,Primitives!$C$6:$E$8,Primitives!$C$10:$E$12,Primitives!$C$14:$E$16,Primitives!$C$18:$E$20,Primitives!$C$22:$E$24,Primitives!$C$26:$E$28,Primitives!$C$30:$E$32,Primitives!$C$34:$E$36,Primitives!$C$38:$E$40,Primitives!$C$42:$E$44,Primitives!$C$46:$E$48,Primitives!$C$50:$E$52,Primitives!$C$54:$E$56,Primitives!$C$58:$E$60),$N25,AI$13))</f>
        <v>1</v>
      </c>
      <c r="AJ25" s="64">
        <f>IF(AND($K25=Calc.Top, AJ$10=Calc.Left),Player.Direction,INDEX(CHOOSE(INDEX(MazeDef,$L25,AJ$11),Primitives!$C$2:$E$4,Primitives!$C$6:$E$8,Primitives!$C$10:$E$12,Primitives!$C$14:$E$16,Primitives!$C$18:$E$20,Primitives!$C$22:$E$24,Primitives!$C$26:$E$28,Primitives!$C$30:$E$32,Primitives!$C$34:$E$36,Primitives!$C$38:$E$40,Primitives!$C$42:$E$44,Primitives!$C$46:$E$48,Primitives!$C$50:$E$52,Primitives!$C$54:$E$56,Primitives!$C$58:$E$60),$N25,AJ$13))</f>
        <v>1</v>
      </c>
      <c r="AK25" s="64">
        <f>IF(AND($K25=Calc.Top, AK$10=Calc.Left),Player.Direction,INDEX(CHOOSE(INDEX(MazeDef,$L25,AK$11),Primitives!$C$2:$E$4,Primitives!$C$6:$E$8,Primitives!$C$10:$E$12,Primitives!$C$14:$E$16,Primitives!$C$18:$E$20,Primitives!$C$22:$E$24,Primitives!$C$26:$E$28,Primitives!$C$30:$E$32,Primitives!$C$34:$E$36,Primitives!$C$38:$E$40,Primitives!$C$42:$E$44,Primitives!$C$46:$E$48,Primitives!$C$50:$E$52,Primitives!$C$54:$E$56,Primitives!$C$58:$E$60),$N25,AK$13))</f>
        <v>1</v>
      </c>
      <c r="AL25" s="64">
        <f>IF(AND($K25=Calc.Top, AL$10=Calc.Left),Player.Direction,INDEX(CHOOSE(INDEX(MazeDef,$L25,AL$11),Primitives!$C$2:$E$4,Primitives!$C$6:$E$8,Primitives!$C$10:$E$12,Primitives!$C$14:$E$16,Primitives!$C$18:$E$20,Primitives!$C$22:$E$24,Primitives!$C$26:$E$28,Primitives!$C$30:$E$32,Primitives!$C$34:$E$36,Primitives!$C$38:$E$40,Primitives!$C$42:$E$44,Primitives!$C$46:$E$48,Primitives!$C$50:$E$52,Primitives!$C$54:$E$56,Primitives!$C$58:$E$60),$N25,AL$13))</f>
        <v>1</v>
      </c>
      <c r="AM25" s="64">
        <f>IF(AND($K25=Calc.Top, AM$10=Calc.Left),Player.Direction,INDEX(CHOOSE(INDEX(MazeDef,$L25,AM$11),Primitives!$C$2:$E$4,Primitives!$C$6:$E$8,Primitives!$C$10:$E$12,Primitives!$C$14:$E$16,Primitives!$C$18:$E$20,Primitives!$C$22:$E$24,Primitives!$C$26:$E$28,Primitives!$C$30:$E$32,Primitives!$C$34:$E$36,Primitives!$C$38:$E$40,Primitives!$C$42:$E$44,Primitives!$C$46:$E$48,Primitives!$C$50:$E$52,Primitives!$C$54:$E$56,Primitives!$C$58:$E$60),$N25,AM$13))</f>
        <v>1</v>
      </c>
      <c r="AN25" s="64">
        <f>IF(AND($K25=Calc.Top, AN$10=Calc.Left),Player.Direction,INDEX(CHOOSE(INDEX(MazeDef,$L25,AN$11),Primitives!$C$2:$E$4,Primitives!$C$6:$E$8,Primitives!$C$10:$E$12,Primitives!$C$14:$E$16,Primitives!$C$18:$E$20,Primitives!$C$22:$E$24,Primitives!$C$26:$E$28,Primitives!$C$30:$E$32,Primitives!$C$34:$E$36,Primitives!$C$38:$E$40,Primitives!$C$42:$E$44,Primitives!$C$46:$E$48,Primitives!$C$50:$E$52,Primitives!$C$54:$E$56,Primitives!$C$58:$E$60),$N25,AN$13))</f>
        <v>0</v>
      </c>
      <c r="AO25" s="64">
        <f>IF(AND($K25=Calc.Top, AO$10=Calc.Left),Player.Direction,INDEX(CHOOSE(INDEX(MazeDef,$L25,AO$11),Primitives!$C$2:$E$4,Primitives!$C$6:$E$8,Primitives!$C$10:$E$12,Primitives!$C$14:$E$16,Primitives!$C$18:$E$20,Primitives!$C$22:$E$24,Primitives!$C$26:$E$28,Primitives!$C$30:$E$32,Primitives!$C$34:$E$36,Primitives!$C$38:$E$40,Primitives!$C$42:$E$44,Primitives!$C$46:$E$48,Primitives!$C$50:$E$52,Primitives!$C$54:$E$56,Primitives!$C$58:$E$60),$N25,AO$13))</f>
        <v>1</v>
      </c>
      <c r="AP25" s="64">
        <f>IF(AND($K25=Calc.Top, AP$10=Calc.Left),Player.Direction,INDEX(CHOOSE(INDEX(MazeDef,$L25,AP$11),Primitives!$C$2:$E$4,Primitives!$C$6:$E$8,Primitives!$C$10:$E$12,Primitives!$C$14:$E$16,Primitives!$C$18:$E$20,Primitives!$C$22:$E$24,Primitives!$C$26:$E$28,Primitives!$C$30:$E$32,Primitives!$C$34:$E$36,Primitives!$C$38:$E$40,Primitives!$C$42:$E$44,Primitives!$C$46:$E$48,Primitives!$C$50:$E$52,Primitives!$C$54:$E$56,Primitives!$C$58:$E$60),$N25,AP$13))</f>
        <v>1</v>
      </c>
      <c r="AQ25" s="64">
        <f>IF(AND($K25=Calc.Top, AQ$10=Calc.Left),Player.Direction,INDEX(CHOOSE(INDEX(MazeDef,$L25,AQ$11),Primitives!$C$2:$E$4,Primitives!$C$6:$E$8,Primitives!$C$10:$E$12,Primitives!$C$14:$E$16,Primitives!$C$18:$E$20,Primitives!$C$22:$E$24,Primitives!$C$26:$E$28,Primitives!$C$30:$E$32,Primitives!$C$34:$E$36,Primitives!$C$38:$E$40,Primitives!$C$42:$E$44,Primitives!$C$46:$E$48,Primitives!$C$50:$E$52,Primitives!$C$54:$E$56,Primitives!$C$58:$E$60),$N25,AQ$13))</f>
        <v>0</v>
      </c>
      <c r="AR25" s="64">
        <f>IF(AND($K25=Calc.Top, AR$10=Calc.Left),Player.Direction,INDEX(CHOOSE(INDEX(MazeDef,$L25,AR$11),Primitives!$C$2:$E$4,Primitives!$C$6:$E$8,Primitives!$C$10:$E$12,Primitives!$C$14:$E$16,Primitives!$C$18:$E$20,Primitives!$C$22:$E$24,Primitives!$C$26:$E$28,Primitives!$C$30:$E$32,Primitives!$C$34:$E$36,Primitives!$C$38:$E$40,Primitives!$C$42:$E$44,Primitives!$C$46:$E$48,Primitives!$C$50:$E$52,Primitives!$C$54:$E$56,Primitives!$C$58:$E$60),$N25,AR$13))</f>
        <v>1</v>
      </c>
      <c r="AS25" s="2"/>
      <c r="AT25" s="2"/>
      <c r="AU25" s="2"/>
      <c r="AV25" s="2"/>
    </row>
    <row r="26" spans="1:48" ht="9" customHeight="1" x14ac:dyDescent="0.25">
      <c r="A26" s="5"/>
      <c r="B26" s="21">
        <v>1</v>
      </c>
      <c r="C26" s="21"/>
      <c r="D26" s="21">
        <v>1</v>
      </c>
      <c r="E26" s="2"/>
      <c r="F26" s="2"/>
      <c r="G26" s="2"/>
      <c r="H26" s="2"/>
      <c r="I26" s="2"/>
      <c r="J26" s="2"/>
      <c r="K26" s="2">
        <v>13</v>
      </c>
      <c r="L26" s="2">
        <v>5</v>
      </c>
      <c r="M26" s="67">
        <v>5</v>
      </c>
      <c r="N26" s="7">
        <v>1</v>
      </c>
      <c r="O26" s="64">
        <f>IF(AND($K26=Calc.Top, O$10=Calc.Left),Player.Direction,INDEX(CHOOSE(INDEX(MazeDef,$L26,O$11),Primitives!$C$2:$E$4,Primitives!$C$6:$E$8,Primitives!$C$10:$E$12,Primitives!$C$14:$E$16,Primitives!$C$18:$E$20,Primitives!$C$22:$E$24,Primitives!$C$26:$E$28,Primitives!$C$30:$E$32,Primitives!$C$34:$E$36,Primitives!$C$38:$E$40,Primitives!$C$42:$E$44,Primitives!$C$46:$E$48,Primitives!$C$50:$E$52,Primitives!$C$54:$E$56,Primitives!$C$58:$E$60),$N26,O$13))</f>
        <v>1</v>
      </c>
      <c r="P26" s="64">
        <f>IF(AND($K26=Calc.Top, P$10=Calc.Left),Player.Direction,INDEX(CHOOSE(INDEX(MazeDef,$L26,P$11),Primitives!$C$2:$E$4,Primitives!$C$6:$E$8,Primitives!$C$10:$E$12,Primitives!$C$14:$E$16,Primitives!$C$18:$E$20,Primitives!$C$22:$E$24,Primitives!$C$26:$E$28,Primitives!$C$30:$E$32,Primitives!$C$34:$E$36,Primitives!$C$38:$E$40,Primitives!$C$42:$E$44,Primitives!$C$46:$E$48,Primitives!$C$50:$E$52,Primitives!$C$54:$E$56,Primitives!$C$58:$E$60),$N26,P$13))</f>
        <v>0</v>
      </c>
      <c r="Q26" s="64">
        <f>IF(AND($K26=Calc.Top, Q$10=Calc.Left),Player.Direction,INDEX(CHOOSE(INDEX(MazeDef,$L26,Q$11),Primitives!$C$2:$E$4,Primitives!$C$6:$E$8,Primitives!$C$10:$E$12,Primitives!$C$14:$E$16,Primitives!$C$18:$E$20,Primitives!$C$22:$E$24,Primitives!$C$26:$E$28,Primitives!$C$30:$E$32,Primitives!$C$34:$E$36,Primitives!$C$38:$E$40,Primitives!$C$42:$E$44,Primitives!$C$46:$E$48,Primitives!$C$50:$E$52,Primitives!$C$54:$E$56,Primitives!$C$58:$E$60),$N26,Q$13))</f>
        <v>1</v>
      </c>
      <c r="R26" s="64">
        <f>IF(AND($K26=Calc.Top, R$10=Calc.Left),Player.Direction,INDEX(CHOOSE(INDEX(MazeDef,$L26,R$11),Primitives!$C$2:$E$4,Primitives!$C$6:$E$8,Primitives!$C$10:$E$12,Primitives!$C$14:$E$16,Primitives!$C$18:$E$20,Primitives!$C$22:$E$24,Primitives!$C$26:$E$28,Primitives!$C$30:$E$32,Primitives!$C$34:$E$36,Primitives!$C$38:$E$40,Primitives!$C$42:$E$44,Primitives!$C$46:$E$48,Primitives!$C$50:$E$52,Primitives!$C$54:$E$56,Primitives!$C$58:$E$60),$N26,R$13))</f>
        <v>1</v>
      </c>
      <c r="S26" s="64">
        <f>IF(AND($K26=Calc.Top, S$10=Calc.Left),Player.Direction,INDEX(CHOOSE(INDEX(MazeDef,$L26,S$11),Primitives!$C$2:$E$4,Primitives!$C$6:$E$8,Primitives!$C$10:$E$12,Primitives!$C$14:$E$16,Primitives!$C$18:$E$20,Primitives!$C$22:$E$24,Primitives!$C$26:$E$28,Primitives!$C$30:$E$32,Primitives!$C$34:$E$36,Primitives!$C$38:$E$40,Primitives!$C$42:$E$44,Primitives!$C$46:$E$48,Primitives!$C$50:$E$52,Primitives!$C$54:$E$56,Primitives!$C$58:$E$60),$N26,S$13))</f>
        <v>0</v>
      </c>
      <c r="T26" s="64">
        <f>IF(AND($K26=Calc.Top, T$10=Calc.Left),Player.Direction,INDEX(CHOOSE(INDEX(MazeDef,$L26,T$11),Primitives!$C$2:$E$4,Primitives!$C$6:$E$8,Primitives!$C$10:$E$12,Primitives!$C$14:$E$16,Primitives!$C$18:$E$20,Primitives!$C$22:$E$24,Primitives!$C$26:$E$28,Primitives!$C$30:$E$32,Primitives!$C$34:$E$36,Primitives!$C$38:$E$40,Primitives!$C$42:$E$44,Primitives!$C$46:$E$48,Primitives!$C$50:$E$52,Primitives!$C$54:$E$56,Primitives!$C$58:$E$60),$N26,T$13))</f>
        <v>1</v>
      </c>
      <c r="U26" s="64">
        <f>IF(AND($K26=Calc.Top, U$10=Calc.Left),Player.Direction,INDEX(CHOOSE(INDEX(MazeDef,$L26,U$11),Primitives!$C$2:$E$4,Primitives!$C$6:$E$8,Primitives!$C$10:$E$12,Primitives!$C$14:$E$16,Primitives!$C$18:$E$20,Primitives!$C$22:$E$24,Primitives!$C$26:$E$28,Primitives!$C$30:$E$32,Primitives!$C$34:$E$36,Primitives!$C$38:$E$40,Primitives!$C$42:$E$44,Primitives!$C$46:$E$48,Primitives!$C$50:$E$52,Primitives!$C$54:$E$56,Primitives!$C$58:$E$60),$N26,U$13))</f>
        <v>1</v>
      </c>
      <c r="V26" s="64">
        <f>IF(AND($K26=Calc.Top, V$10=Calc.Left),Player.Direction,INDEX(CHOOSE(INDEX(MazeDef,$L26,V$11),Primitives!$C$2:$E$4,Primitives!$C$6:$E$8,Primitives!$C$10:$E$12,Primitives!$C$14:$E$16,Primitives!$C$18:$E$20,Primitives!$C$22:$E$24,Primitives!$C$26:$E$28,Primitives!$C$30:$E$32,Primitives!$C$34:$E$36,Primitives!$C$38:$E$40,Primitives!$C$42:$E$44,Primitives!$C$46:$E$48,Primitives!$C$50:$E$52,Primitives!$C$54:$E$56,Primitives!$C$58:$E$60),$N26,V$13))</f>
        <v>0</v>
      </c>
      <c r="W26" s="64">
        <f>IF(AND($K26=Calc.Top, W$10=Calc.Left),Player.Direction,INDEX(CHOOSE(INDEX(MazeDef,$L26,W$11),Primitives!$C$2:$E$4,Primitives!$C$6:$E$8,Primitives!$C$10:$E$12,Primitives!$C$14:$E$16,Primitives!$C$18:$E$20,Primitives!$C$22:$E$24,Primitives!$C$26:$E$28,Primitives!$C$30:$E$32,Primitives!$C$34:$E$36,Primitives!$C$38:$E$40,Primitives!$C$42:$E$44,Primitives!$C$46:$E$48,Primitives!$C$50:$E$52,Primitives!$C$54:$E$56,Primitives!$C$58:$E$60),$N26,W$13))</f>
        <v>1</v>
      </c>
      <c r="X26" s="64">
        <f>IF(AND($K26=Calc.Top, X$10=Calc.Left),Player.Direction,INDEX(CHOOSE(INDEX(MazeDef,$L26,X$11),Primitives!$C$2:$E$4,Primitives!$C$6:$E$8,Primitives!$C$10:$E$12,Primitives!$C$14:$E$16,Primitives!$C$18:$E$20,Primitives!$C$22:$E$24,Primitives!$C$26:$E$28,Primitives!$C$30:$E$32,Primitives!$C$34:$E$36,Primitives!$C$38:$E$40,Primitives!$C$42:$E$44,Primitives!$C$46:$E$48,Primitives!$C$50:$E$52,Primitives!$C$54:$E$56,Primitives!$C$58:$E$60),$N26,X$13))</f>
        <v>1</v>
      </c>
      <c r="Y26" s="64">
        <f>IF(AND($K26=Calc.Top, Y$10=Calc.Left),Player.Direction,INDEX(CHOOSE(INDEX(MazeDef,$L26,Y$11),Primitives!$C$2:$E$4,Primitives!$C$6:$E$8,Primitives!$C$10:$E$12,Primitives!$C$14:$E$16,Primitives!$C$18:$E$20,Primitives!$C$22:$E$24,Primitives!$C$26:$E$28,Primitives!$C$30:$E$32,Primitives!$C$34:$E$36,Primitives!$C$38:$E$40,Primitives!$C$42:$E$44,Primitives!$C$46:$E$48,Primitives!$C$50:$E$52,Primitives!$C$54:$E$56,Primitives!$C$58:$E$60),$N26,Y$13))</f>
        <v>0</v>
      </c>
      <c r="Z26" s="64">
        <f>IF(AND($K26=Calc.Top, Z$10=Calc.Left),Player.Direction,INDEX(CHOOSE(INDEX(MazeDef,$L26,Z$11),Primitives!$C$2:$E$4,Primitives!$C$6:$E$8,Primitives!$C$10:$E$12,Primitives!$C$14:$E$16,Primitives!$C$18:$E$20,Primitives!$C$22:$E$24,Primitives!$C$26:$E$28,Primitives!$C$30:$E$32,Primitives!$C$34:$E$36,Primitives!$C$38:$E$40,Primitives!$C$42:$E$44,Primitives!$C$46:$E$48,Primitives!$C$50:$E$52,Primitives!$C$54:$E$56,Primitives!$C$58:$E$60),$N26,Z$13))</f>
        <v>1</v>
      </c>
      <c r="AA26" s="64">
        <f>IF(AND($K26=Calc.Top, AA$10=Calc.Left),Player.Direction,INDEX(CHOOSE(INDEX(MazeDef,$L26,AA$11),Primitives!$C$2:$E$4,Primitives!$C$6:$E$8,Primitives!$C$10:$E$12,Primitives!$C$14:$E$16,Primitives!$C$18:$E$20,Primitives!$C$22:$E$24,Primitives!$C$26:$E$28,Primitives!$C$30:$E$32,Primitives!$C$34:$E$36,Primitives!$C$38:$E$40,Primitives!$C$42:$E$44,Primitives!$C$46:$E$48,Primitives!$C$50:$E$52,Primitives!$C$54:$E$56,Primitives!$C$58:$E$60),$N26,AA$13))</f>
        <v>1</v>
      </c>
      <c r="AB26" s="64">
        <f>IF(AND($K26=Calc.Top, AB$10=Calc.Left),Player.Direction,INDEX(CHOOSE(INDEX(MazeDef,$L26,AB$11),Primitives!$C$2:$E$4,Primitives!$C$6:$E$8,Primitives!$C$10:$E$12,Primitives!$C$14:$E$16,Primitives!$C$18:$E$20,Primitives!$C$22:$E$24,Primitives!$C$26:$E$28,Primitives!$C$30:$E$32,Primitives!$C$34:$E$36,Primitives!$C$38:$E$40,Primitives!$C$42:$E$44,Primitives!$C$46:$E$48,Primitives!$C$50:$E$52,Primitives!$C$54:$E$56,Primitives!$C$58:$E$60),$N26,AB$13))</f>
        <v>0</v>
      </c>
      <c r="AC26" s="64">
        <f>IF(AND($K26=Calc.Top, AC$10=Calc.Left),Player.Direction,INDEX(CHOOSE(INDEX(MazeDef,$L26,AC$11),Primitives!$C$2:$E$4,Primitives!$C$6:$E$8,Primitives!$C$10:$E$12,Primitives!$C$14:$E$16,Primitives!$C$18:$E$20,Primitives!$C$22:$E$24,Primitives!$C$26:$E$28,Primitives!$C$30:$E$32,Primitives!$C$34:$E$36,Primitives!$C$38:$E$40,Primitives!$C$42:$E$44,Primitives!$C$46:$E$48,Primitives!$C$50:$E$52,Primitives!$C$54:$E$56,Primitives!$C$58:$E$60),$N26,AC$13))</f>
        <v>1</v>
      </c>
      <c r="AD26" s="64">
        <f>IF(AND($K26=Calc.Top, AD$10=Calc.Left),Player.Direction,INDEX(CHOOSE(INDEX(MazeDef,$L26,AD$11),Primitives!$C$2:$E$4,Primitives!$C$6:$E$8,Primitives!$C$10:$E$12,Primitives!$C$14:$E$16,Primitives!$C$18:$E$20,Primitives!$C$22:$E$24,Primitives!$C$26:$E$28,Primitives!$C$30:$E$32,Primitives!$C$34:$E$36,Primitives!$C$38:$E$40,Primitives!$C$42:$E$44,Primitives!$C$46:$E$48,Primitives!$C$50:$E$52,Primitives!$C$54:$E$56,Primitives!$C$58:$E$60),$N26,AD$13))</f>
        <v>1</v>
      </c>
      <c r="AE26" s="64">
        <f>IF(AND($K26=Calc.Top, AE$10=Calc.Left),Player.Direction,INDEX(CHOOSE(INDEX(MazeDef,$L26,AE$11),Primitives!$C$2:$E$4,Primitives!$C$6:$E$8,Primitives!$C$10:$E$12,Primitives!$C$14:$E$16,Primitives!$C$18:$E$20,Primitives!$C$22:$E$24,Primitives!$C$26:$E$28,Primitives!$C$30:$E$32,Primitives!$C$34:$E$36,Primitives!$C$38:$E$40,Primitives!$C$42:$E$44,Primitives!$C$46:$E$48,Primitives!$C$50:$E$52,Primitives!$C$54:$E$56,Primitives!$C$58:$E$60),$N26,AE$13))</f>
        <v>1</v>
      </c>
      <c r="AF26" s="64">
        <f>IF(AND($K26=Calc.Top, AF$10=Calc.Left),Player.Direction,INDEX(CHOOSE(INDEX(MazeDef,$L26,AF$11),Primitives!$C$2:$E$4,Primitives!$C$6:$E$8,Primitives!$C$10:$E$12,Primitives!$C$14:$E$16,Primitives!$C$18:$E$20,Primitives!$C$22:$E$24,Primitives!$C$26:$E$28,Primitives!$C$30:$E$32,Primitives!$C$34:$E$36,Primitives!$C$38:$E$40,Primitives!$C$42:$E$44,Primitives!$C$46:$E$48,Primitives!$C$50:$E$52,Primitives!$C$54:$E$56,Primitives!$C$58:$E$60),$N26,AF$13))</f>
        <v>1</v>
      </c>
      <c r="AG26" s="64">
        <f>IF(AND($K26=Calc.Top, AG$10=Calc.Left),Player.Direction,INDEX(CHOOSE(INDEX(MazeDef,$L26,AG$11),Primitives!$C$2:$E$4,Primitives!$C$6:$E$8,Primitives!$C$10:$E$12,Primitives!$C$14:$E$16,Primitives!$C$18:$E$20,Primitives!$C$22:$E$24,Primitives!$C$26:$E$28,Primitives!$C$30:$E$32,Primitives!$C$34:$E$36,Primitives!$C$38:$E$40,Primitives!$C$42:$E$44,Primitives!$C$46:$E$48,Primitives!$C$50:$E$52,Primitives!$C$54:$E$56,Primitives!$C$58:$E$60),$N26,AG$13))</f>
        <v>1</v>
      </c>
      <c r="AH26" s="64">
        <f>IF(AND($K26=Calc.Top, AH$10=Calc.Left),Player.Direction,INDEX(CHOOSE(INDEX(MazeDef,$L26,AH$11),Primitives!$C$2:$E$4,Primitives!$C$6:$E$8,Primitives!$C$10:$E$12,Primitives!$C$14:$E$16,Primitives!$C$18:$E$20,Primitives!$C$22:$E$24,Primitives!$C$26:$E$28,Primitives!$C$30:$E$32,Primitives!$C$34:$E$36,Primitives!$C$38:$E$40,Primitives!$C$42:$E$44,Primitives!$C$46:$E$48,Primitives!$C$50:$E$52,Primitives!$C$54:$E$56,Primitives!$C$58:$E$60),$N26,AH$13))</f>
        <v>1</v>
      </c>
      <c r="AI26" s="64">
        <f>IF(AND($K26=Calc.Top, AI$10=Calc.Left),Player.Direction,INDEX(CHOOSE(INDEX(MazeDef,$L26,AI$11),Primitives!$C$2:$E$4,Primitives!$C$6:$E$8,Primitives!$C$10:$E$12,Primitives!$C$14:$E$16,Primitives!$C$18:$E$20,Primitives!$C$22:$E$24,Primitives!$C$26:$E$28,Primitives!$C$30:$E$32,Primitives!$C$34:$E$36,Primitives!$C$38:$E$40,Primitives!$C$42:$E$44,Primitives!$C$46:$E$48,Primitives!$C$50:$E$52,Primitives!$C$54:$E$56,Primitives!$C$58:$E$60),$N26,AI$13))</f>
        <v>1</v>
      </c>
      <c r="AJ26" s="64">
        <f>IF(AND($K26=Calc.Top, AJ$10=Calc.Left),Player.Direction,INDEX(CHOOSE(INDEX(MazeDef,$L26,AJ$11),Primitives!$C$2:$E$4,Primitives!$C$6:$E$8,Primitives!$C$10:$E$12,Primitives!$C$14:$E$16,Primitives!$C$18:$E$20,Primitives!$C$22:$E$24,Primitives!$C$26:$E$28,Primitives!$C$30:$E$32,Primitives!$C$34:$E$36,Primitives!$C$38:$E$40,Primitives!$C$42:$E$44,Primitives!$C$46:$E$48,Primitives!$C$50:$E$52,Primitives!$C$54:$E$56,Primitives!$C$58:$E$60),$N26,AJ$13))</f>
        <v>1</v>
      </c>
      <c r="AK26" s="64">
        <f>IF(AND($K26=Calc.Top, AK$10=Calc.Left),Player.Direction,INDEX(CHOOSE(INDEX(MazeDef,$L26,AK$11),Primitives!$C$2:$E$4,Primitives!$C$6:$E$8,Primitives!$C$10:$E$12,Primitives!$C$14:$E$16,Primitives!$C$18:$E$20,Primitives!$C$22:$E$24,Primitives!$C$26:$E$28,Primitives!$C$30:$E$32,Primitives!$C$34:$E$36,Primitives!$C$38:$E$40,Primitives!$C$42:$E$44,Primitives!$C$46:$E$48,Primitives!$C$50:$E$52,Primitives!$C$54:$E$56,Primitives!$C$58:$E$60),$N26,AK$13))</f>
        <v>1</v>
      </c>
      <c r="AL26" s="64">
        <f>IF(AND($K26=Calc.Top, AL$10=Calc.Left),Player.Direction,INDEX(CHOOSE(INDEX(MazeDef,$L26,AL$11),Primitives!$C$2:$E$4,Primitives!$C$6:$E$8,Primitives!$C$10:$E$12,Primitives!$C$14:$E$16,Primitives!$C$18:$E$20,Primitives!$C$22:$E$24,Primitives!$C$26:$E$28,Primitives!$C$30:$E$32,Primitives!$C$34:$E$36,Primitives!$C$38:$E$40,Primitives!$C$42:$E$44,Primitives!$C$46:$E$48,Primitives!$C$50:$E$52,Primitives!$C$54:$E$56,Primitives!$C$58:$E$60),$N26,AL$13))</f>
        <v>1</v>
      </c>
      <c r="AM26" s="64">
        <f>IF(AND($K26=Calc.Top, AM$10=Calc.Left),Player.Direction,INDEX(CHOOSE(INDEX(MazeDef,$L26,AM$11),Primitives!$C$2:$E$4,Primitives!$C$6:$E$8,Primitives!$C$10:$E$12,Primitives!$C$14:$E$16,Primitives!$C$18:$E$20,Primitives!$C$22:$E$24,Primitives!$C$26:$E$28,Primitives!$C$30:$E$32,Primitives!$C$34:$E$36,Primitives!$C$38:$E$40,Primitives!$C$42:$E$44,Primitives!$C$46:$E$48,Primitives!$C$50:$E$52,Primitives!$C$54:$E$56,Primitives!$C$58:$E$60),$N26,AM$13))</f>
        <v>1</v>
      </c>
      <c r="AN26" s="64">
        <f>IF(AND($K26=Calc.Top, AN$10=Calc.Left),Player.Direction,INDEX(CHOOSE(INDEX(MazeDef,$L26,AN$11),Primitives!$C$2:$E$4,Primitives!$C$6:$E$8,Primitives!$C$10:$E$12,Primitives!$C$14:$E$16,Primitives!$C$18:$E$20,Primitives!$C$22:$E$24,Primitives!$C$26:$E$28,Primitives!$C$30:$E$32,Primitives!$C$34:$E$36,Primitives!$C$38:$E$40,Primitives!$C$42:$E$44,Primitives!$C$46:$E$48,Primitives!$C$50:$E$52,Primitives!$C$54:$E$56,Primitives!$C$58:$E$60),$N26,AN$13))</f>
        <v>0</v>
      </c>
      <c r="AO26" s="64">
        <f>IF(AND($K26=Calc.Top, AO$10=Calc.Left),Player.Direction,INDEX(CHOOSE(INDEX(MazeDef,$L26,AO$11),Primitives!$C$2:$E$4,Primitives!$C$6:$E$8,Primitives!$C$10:$E$12,Primitives!$C$14:$E$16,Primitives!$C$18:$E$20,Primitives!$C$22:$E$24,Primitives!$C$26:$E$28,Primitives!$C$30:$E$32,Primitives!$C$34:$E$36,Primitives!$C$38:$E$40,Primitives!$C$42:$E$44,Primitives!$C$46:$E$48,Primitives!$C$50:$E$52,Primitives!$C$54:$E$56,Primitives!$C$58:$E$60),$N26,AO$13))</f>
        <v>1</v>
      </c>
      <c r="AP26" s="64">
        <f>IF(AND($K26=Calc.Top, AP$10=Calc.Left),Player.Direction,INDEX(CHOOSE(INDEX(MazeDef,$L26,AP$11),Primitives!$C$2:$E$4,Primitives!$C$6:$E$8,Primitives!$C$10:$E$12,Primitives!$C$14:$E$16,Primitives!$C$18:$E$20,Primitives!$C$22:$E$24,Primitives!$C$26:$E$28,Primitives!$C$30:$E$32,Primitives!$C$34:$E$36,Primitives!$C$38:$E$40,Primitives!$C$42:$E$44,Primitives!$C$46:$E$48,Primitives!$C$50:$E$52,Primitives!$C$54:$E$56,Primitives!$C$58:$E$60),$N26,AP$13))</f>
        <v>1</v>
      </c>
      <c r="AQ26" s="64">
        <f>IF(AND($K26=Calc.Top, AQ$10=Calc.Left),Player.Direction,INDEX(CHOOSE(INDEX(MazeDef,$L26,AQ$11),Primitives!$C$2:$E$4,Primitives!$C$6:$E$8,Primitives!$C$10:$E$12,Primitives!$C$14:$E$16,Primitives!$C$18:$E$20,Primitives!$C$22:$E$24,Primitives!$C$26:$E$28,Primitives!$C$30:$E$32,Primitives!$C$34:$E$36,Primitives!$C$38:$E$40,Primitives!$C$42:$E$44,Primitives!$C$46:$E$48,Primitives!$C$50:$E$52,Primitives!$C$54:$E$56,Primitives!$C$58:$E$60),$N26,AQ$13))</f>
        <v>0</v>
      </c>
      <c r="AR26" s="64">
        <f>IF(AND($K26=Calc.Top, AR$10=Calc.Left),Player.Direction,INDEX(CHOOSE(INDEX(MazeDef,$L26,AR$11),Primitives!$C$2:$E$4,Primitives!$C$6:$E$8,Primitives!$C$10:$E$12,Primitives!$C$14:$E$16,Primitives!$C$18:$E$20,Primitives!$C$22:$E$24,Primitives!$C$26:$E$28,Primitives!$C$30:$E$32,Primitives!$C$34:$E$36,Primitives!$C$38:$E$40,Primitives!$C$42:$E$44,Primitives!$C$46:$E$48,Primitives!$C$50:$E$52,Primitives!$C$54:$E$56,Primitives!$C$58:$E$60),$N26,AR$13))</f>
        <v>1</v>
      </c>
      <c r="AS26" s="2"/>
      <c r="AT26" s="2"/>
      <c r="AU26" s="2"/>
      <c r="AV26" s="2"/>
    </row>
    <row r="27" spans="1:48" ht="9" customHeight="1" x14ac:dyDescent="0.25">
      <c r="A27" s="5">
        <v>4</v>
      </c>
      <c r="B27" s="21">
        <v>1</v>
      </c>
      <c r="C27" s="21"/>
      <c r="D27" s="21">
        <v>1</v>
      </c>
      <c r="E27" s="2"/>
      <c r="F27" s="2"/>
      <c r="G27" s="2"/>
      <c r="H27" s="2"/>
      <c r="I27" s="2"/>
      <c r="J27" s="2"/>
      <c r="K27" s="2">
        <v>14</v>
      </c>
      <c r="L27" s="2">
        <v>5</v>
      </c>
      <c r="M27" s="68"/>
      <c r="N27" s="8">
        <v>2</v>
      </c>
      <c r="O27" s="64">
        <f>IF(AND($K27=Calc.Top, O$10=Calc.Left),Player.Direction,INDEX(CHOOSE(INDEX(MazeDef,$L27,O$11),Primitives!$C$2:$E$4,Primitives!$C$6:$E$8,Primitives!$C$10:$E$12,Primitives!$C$14:$E$16,Primitives!$C$18:$E$20,Primitives!$C$22:$E$24,Primitives!$C$26:$E$28,Primitives!$C$30:$E$32,Primitives!$C$34:$E$36,Primitives!$C$38:$E$40,Primitives!$C$42:$E$44,Primitives!$C$46:$E$48,Primitives!$C$50:$E$52,Primitives!$C$54:$E$56,Primitives!$C$58:$E$60),$N27,O$13))</f>
        <v>1</v>
      </c>
      <c r="P27" s="64">
        <f>IF(AND($K27=Calc.Top, P$10=Calc.Left),Player.Direction,INDEX(CHOOSE(INDEX(MazeDef,$L27,P$11),Primitives!$C$2:$E$4,Primitives!$C$6:$E$8,Primitives!$C$10:$E$12,Primitives!$C$14:$E$16,Primitives!$C$18:$E$20,Primitives!$C$22:$E$24,Primitives!$C$26:$E$28,Primitives!$C$30:$E$32,Primitives!$C$34:$E$36,Primitives!$C$38:$E$40,Primitives!$C$42:$E$44,Primitives!$C$46:$E$48,Primitives!$C$50:$E$52,Primitives!$C$54:$E$56,Primitives!$C$58:$E$60),$N27,P$13))</f>
        <v>0</v>
      </c>
      <c r="Q27" s="64">
        <f>IF(AND($K27=Calc.Top, Q$10=Calc.Left),Player.Direction,INDEX(CHOOSE(INDEX(MazeDef,$L27,Q$11),Primitives!$C$2:$E$4,Primitives!$C$6:$E$8,Primitives!$C$10:$E$12,Primitives!$C$14:$E$16,Primitives!$C$18:$E$20,Primitives!$C$22:$E$24,Primitives!$C$26:$E$28,Primitives!$C$30:$E$32,Primitives!$C$34:$E$36,Primitives!$C$38:$E$40,Primitives!$C$42:$E$44,Primitives!$C$46:$E$48,Primitives!$C$50:$E$52,Primitives!$C$54:$E$56,Primitives!$C$58:$E$60),$N27,Q$13))</f>
        <v>0</v>
      </c>
      <c r="R27" s="64">
        <f>IF(AND($K27=Calc.Top, R$10=Calc.Left),Player.Direction,INDEX(CHOOSE(INDEX(MazeDef,$L27,R$11),Primitives!$C$2:$E$4,Primitives!$C$6:$E$8,Primitives!$C$10:$E$12,Primitives!$C$14:$E$16,Primitives!$C$18:$E$20,Primitives!$C$22:$E$24,Primitives!$C$26:$E$28,Primitives!$C$30:$E$32,Primitives!$C$34:$E$36,Primitives!$C$38:$E$40,Primitives!$C$42:$E$44,Primitives!$C$46:$E$48,Primitives!$C$50:$E$52,Primitives!$C$54:$E$56,Primitives!$C$58:$E$60),$N27,R$13))</f>
        <v>0</v>
      </c>
      <c r="S27" s="64">
        <f>IF(AND($K27=Calc.Top, S$10=Calc.Left),Player.Direction,INDEX(CHOOSE(INDEX(MazeDef,$L27,S$11),Primitives!$C$2:$E$4,Primitives!$C$6:$E$8,Primitives!$C$10:$E$12,Primitives!$C$14:$E$16,Primitives!$C$18:$E$20,Primitives!$C$22:$E$24,Primitives!$C$26:$E$28,Primitives!$C$30:$E$32,Primitives!$C$34:$E$36,Primitives!$C$38:$E$40,Primitives!$C$42:$E$44,Primitives!$C$46:$E$48,Primitives!$C$50:$E$52,Primitives!$C$54:$E$56,Primitives!$C$58:$E$60),$N27,S$13))</f>
        <v>0</v>
      </c>
      <c r="T27" s="64">
        <f>IF(AND($K27=Calc.Top, T$10=Calc.Left),Player.Direction,INDEX(CHOOSE(INDEX(MazeDef,$L27,T$11),Primitives!$C$2:$E$4,Primitives!$C$6:$E$8,Primitives!$C$10:$E$12,Primitives!$C$14:$E$16,Primitives!$C$18:$E$20,Primitives!$C$22:$E$24,Primitives!$C$26:$E$28,Primitives!$C$30:$E$32,Primitives!$C$34:$E$36,Primitives!$C$38:$E$40,Primitives!$C$42:$E$44,Primitives!$C$46:$E$48,Primitives!$C$50:$E$52,Primitives!$C$54:$E$56,Primitives!$C$58:$E$60),$N27,T$13))</f>
        <v>0</v>
      </c>
      <c r="U27" s="64">
        <f>IF(AND($K27=Calc.Top, U$10=Calc.Left),Player.Direction,INDEX(CHOOSE(INDEX(MazeDef,$L27,U$11),Primitives!$C$2:$E$4,Primitives!$C$6:$E$8,Primitives!$C$10:$E$12,Primitives!$C$14:$E$16,Primitives!$C$18:$E$20,Primitives!$C$22:$E$24,Primitives!$C$26:$E$28,Primitives!$C$30:$E$32,Primitives!$C$34:$E$36,Primitives!$C$38:$E$40,Primitives!$C$42:$E$44,Primitives!$C$46:$E$48,Primitives!$C$50:$E$52,Primitives!$C$54:$E$56,Primitives!$C$58:$E$60),$N27,U$13))</f>
        <v>0</v>
      </c>
      <c r="V27" s="64">
        <f>IF(AND($K27=Calc.Top, V$10=Calc.Left),Player.Direction,INDEX(CHOOSE(INDEX(MazeDef,$L27,V$11),Primitives!$C$2:$E$4,Primitives!$C$6:$E$8,Primitives!$C$10:$E$12,Primitives!$C$14:$E$16,Primitives!$C$18:$E$20,Primitives!$C$22:$E$24,Primitives!$C$26:$E$28,Primitives!$C$30:$E$32,Primitives!$C$34:$E$36,Primitives!$C$38:$E$40,Primitives!$C$42:$E$44,Primitives!$C$46:$E$48,Primitives!$C$50:$E$52,Primitives!$C$54:$E$56,Primitives!$C$58:$E$60),$N27,V$13))</f>
        <v>0</v>
      </c>
      <c r="W27" s="64">
        <f>IF(AND($K27=Calc.Top, W$10=Calc.Left),Player.Direction,INDEX(CHOOSE(INDEX(MazeDef,$L27,W$11),Primitives!$C$2:$E$4,Primitives!$C$6:$E$8,Primitives!$C$10:$E$12,Primitives!$C$14:$E$16,Primitives!$C$18:$E$20,Primitives!$C$22:$E$24,Primitives!$C$26:$E$28,Primitives!$C$30:$E$32,Primitives!$C$34:$E$36,Primitives!$C$38:$E$40,Primitives!$C$42:$E$44,Primitives!$C$46:$E$48,Primitives!$C$50:$E$52,Primitives!$C$54:$E$56,Primitives!$C$58:$E$60),$N27,W$13))</f>
        <v>0</v>
      </c>
      <c r="X27" s="64">
        <f>IF(AND($K27=Calc.Top, X$10=Calc.Left),Player.Direction,INDEX(CHOOSE(INDEX(MazeDef,$L27,X$11),Primitives!$C$2:$E$4,Primitives!$C$6:$E$8,Primitives!$C$10:$E$12,Primitives!$C$14:$E$16,Primitives!$C$18:$E$20,Primitives!$C$22:$E$24,Primitives!$C$26:$E$28,Primitives!$C$30:$E$32,Primitives!$C$34:$E$36,Primitives!$C$38:$E$40,Primitives!$C$42:$E$44,Primitives!$C$46:$E$48,Primitives!$C$50:$E$52,Primitives!$C$54:$E$56,Primitives!$C$58:$E$60),$N27,X$13))</f>
        <v>0</v>
      </c>
      <c r="Y27" s="64">
        <f>IF(AND($K27=Calc.Top, Y$10=Calc.Left),Player.Direction,INDEX(CHOOSE(INDEX(MazeDef,$L27,Y$11),Primitives!$C$2:$E$4,Primitives!$C$6:$E$8,Primitives!$C$10:$E$12,Primitives!$C$14:$E$16,Primitives!$C$18:$E$20,Primitives!$C$22:$E$24,Primitives!$C$26:$E$28,Primitives!$C$30:$E$32,Primitives!$C$34:$E$36,Primitives!$C$38:$E$40,Primitives!$C$42:$E$44,Primitives!$C$46:$E$48,Primitives!$C$50:$E$52,Primitives!$C$54:$E$56,Primitives!$C$58:$E$60),$N27,Y$13))</f>
        <v>0</v>
      </c>
      <c r="Z27" s="64">
        <f>IF(AND($K27=Calc.Top, Z$10=Calc.Left),Player.Direction,INDEX(CHOOSE(INDEX(MazeDef,$L27,Z$11),Primitives!$C$2:$E$4,Primitives!$C$6:$E$8,Primitives!$C$10:$E$12,Primitives!$C$14:$E$16,Primitives!$C$18:$E$20,Primitives!$C$22:$E$24,Primitives!$C$26:$E$28,Primitives!$C$30:$E$32,Primitives!$C$34:$E$36,Primitives!$C$38:$E$40,Primitives!$C$42:$E$44,Primitives!$C$46:$E$48,Primitives!$C$50:$E$52,Primitives!$C$54:$E$56,Primitives!$C$58:$E$60),$N27,Z$13))</f>
        <v>0</v>
      </c>
      <c r="AA27" s="64">
        <f>IF(AND($K27=Calc.Top, AA$10=Calc.Left),Player.Direction,INDEX(CHOOSE(INDEX(MazeDef,$L27,AA$11),Primitives!$C$2:$E$4,Primitives!$C$6:$E$8,Primitives!$C$10:$E$12,Primitives!$C$14:$E$16,Primitives!$C$18:$E$20,Primitives!$C$22:$E$24,Primitives!$C$26:$E$28,Primitives!$C$30:$E$32,Primitives!$C$34:$E$36,Primitives!$C$38:$E$40,Primitives!$C$42:$E$44,Primitives!$C$46:$E$48,Primitives!$C$50:$E$52,Primitives!$C$54:$E$56,Primitives!$C$58:$E$60),$N27,AA$13))</f>
        <v>0</v>
      </c>
      <c r="AB27" s="64">
        <f>IF(AND($K27=Calc.Top, AB$10=Calc.Left),Player.Direction,INDEX(CHOOSE(INDEX(MazeDef,$L27,AB$11),Primitives!$C$2:$E$4,Primitives!$C$6:$E$8,Primitives!$C$10:$E$12,Primitives!$C$14:$E$16,Primitives!$C$18:$E$20,Primitives!$C$22:$E$24,Primitives!$C$26:$E$28,Primitives!$C$30:$E$32,Primitives!$C$34:$E$36,Primitives!$C$38:$E$40,Primitives!$C$42:$E$44,Primitives!$C$46:$E$48,Primitives!$C$50:$E$52,Primitives!$C$54:$E$56,Primitives!$C$58:$E$60),$N27,AB$13))</f>
        <v>0</v>
      </c>
      <c r="AC27" s="64">
        <f>IF(AND($K27=Calc.Top, AC$10=Calc.Left),Player.Direction,INDEX(CHOOSE(INDEX(MazeDef,$L27,AC$11),Primitives!$C$2:$E$4,Primitives!$C$6:$E$8,Primitives!$C$10:$E$12,Primitives!$C$14:$E$16,Primitives!$C$18:$E$20,Primitives!$C$22:$E$24,Primitives!$C$26:$E$28,Primitives!$C$30:$E$32,Primitives!$C$34:$E$36,Primitives!$C$38:$E$40,Primitives!$C$42:$E$44,Primitives!$C$46:$E$48,Primitives!$C$50:$E$52,Primitives!$C$54:$E$56,Primitives!$C$58:$E$60),$N27,AC$13))</f>
        <v>0</v>
      </c>
      <c r="AD27" s="64">
        <f>IF(AND($K27=Calc.Top, AD$10=Calc.Left),Player.Direction,INDEX(CHOOSE(INDEX(MazeDef,$L27,AD$11),Primitives!$C$2:$E$4,Primitives!$C$6:$E$8,Primitives!$C$10:$E$12,Primitives!$C$14:$E$16,Primitives!$C$18:$E$20,Primitives!$C$22:$E$24,Primitives!$C$26:$E$28,Primitives!$C$30:$E$32,Primitives!$C$34:$E$36,Primitives!$C$38:$E$40,Primitives!$C$42:$E$44,Primitives!$C$46:$E$48,Primitives!$C$50:$E$52,Primitives!$C$54:$E$56,Primitives!$C$58:$E$60),$N27,AD$13))</f>
        <v>0</v>
      </c>
      <c r="AE27" s="64">
        <f>IF(AND($K27=Calc.Top, AE$10=Calc.Left),Player.Direction,INDEX(CHOOSE(INDEX(MazeDef,$L27,AE$11),Primitives!$C$2:$E$4,Primitives!$C$6:$E$8,Primitives!$C$10:$E$12,Primitives!$C$14:$E$16,Primitives!$C$18:$E$20,Primitives!$C$22:$E$24,Primitives!$C$26:$E$28,Primitives!$C$30:$E$32,Primitives!$C$34:$E$36,Primitives!$C$38:$E$40,Primitives!$C$42:$E$44,Primitives!$C$46:$E$48,Primitives!$C$50:$E$52,Primitives!$C$54:$E$56,Primitives!$C$58:$E$60),$N27,AE$13))</f>
        <v>0</v>
      </c>
      <c r="AF27" s="64">
        <f>IF(AND($K27=Calc.Top, AF$10=Calc.Left),Player.Direction,INDEX(CHOOSE(INDEX(MazeDef,$L27,AF$11),Primitives!$C$2:$E$4,Primitives!$C$6:$E$8,Primitives!$C$10:$E$12,Primitives!$C$14:$E$16,Primitives!$C$18:$E$20,Primitives!$C$22:$E$24,Primitives!$C$26:$E$28,Primitives!$C$30:$E$32,Primitives!$C$34:$E$36,Primitives!$C$38:$E$40,Primitives!$C$42:$E$44,Primitives!$C$46:$E$48,Primitives!$C$50:$E$52,Primitives!$C$54:$E$56,Primitives!$C$58:$E$60),$N27,AF$13))</f>
        <v>0</v>
      </c>
      <c r="AG27" s="64">
        <f>IF(AND($K27=Calc.Top, AG$10=Calc.Left),Player.Direction,INDEX(CHOOSE(INDEX(MazeDef,$L27,AG$11),Primitives!$C$2:$E$4,Primitives!$C$6:$E$8,Primitives!$C$10:$E$12,Primitives!$C$14:$E$16,Primitives!$C$18:$E$20,Primitives!$C$22:$E$24,Primitives!$C$26:$E$28,Primitives!$C$30:$E$32,Primitives!$C$34:$E$36,Primitives!$C$38:$E$40,Primitives!$C$42:$E$44,Primitives!$C$46:$E$48,Primitives!$C$50:$E$52,Primitives!$C$54:$E$56,Primitives!$C$58:$E$60),$N27,AG$13))</f>
        <v>0</v>
      </c>
      <c r="AH27" s="64">
        <f>IF(AND($K27=Calc.Top, AH$10=Calc.Left),Player.Direction,INDEX(CHOOSE(INDEX(MazeDef,$L27,AH$11),Primitives!$C$2:$E$4,Primitives!$C$6:$E$8,Primitives!$C$10:$E$12,Primitives!$C$14:$E$16,Primitives!$C$18:$E$20,Primitives!$C$22:$E$24,Primitives!$C$26:$E$28,Primitives!$C$30:$E$32,Primitives!$C$34:$E$36,Primitives!$C$38:$E$40,Primitives!$C$42:$E$44,Primitives!$C$46:$E$48,Primitives!$C$50:$E$52,Primitives!$C$54:$E$56,Primitives!$C$58:$E$60),$N27,AH$13))</f>
        <v>0</v>
      </c>
      <c r="AI27" s="64">
        <f>IF(AND($K27=Calc.Top, AI$10=Calc.Left),Player.Direction,INDEX(CHOOSE(INDEX(MazeDef,$L27,AI$11),Primitives!$C$2:$E$4,Primitives!$C$6:$E$8,Primitives!$C$10:$E$12,Primitives!$C$14:$E$16,Primitives!$C$18:$E$20,Primitives!$C$22:$E$24,Primitives!$C$26:$E$28,Primitives!$C$30:$E$32,Primitives!$C$34:$E$36,Primitives!$C$38:$E$40,Primitives!$C$42:$E$44,Primitives!$C$46:$E$48,Primitives!$C$50:$E$52,Primitives!$C$54:$E$56,Primitives!$C$58:$E$60),$N27,AI$13))</f>
        <v>0</v>
      </c>
      <c r="AJ27" s="64">
        <f>IF(AND($K27=Calc.Top, AJ$10=Calc.Left),Player.Direction,INDEX(CHOOSE(INDEX(MazeDef,$L27,AJ$11),Primitives!$C$2:$E$4,Primitives!$C$6:$E$8,Primitives!$C$10:$E$12,Primitives!$C$14:$E$16,Primitives!$C$18:$E$20,Primitives!$C$22:$E$24,Primitives!$C$26:$E$28,Primitives!$C$30:$E$32,Primitives!$C$34:$E$36,Primitives!$C$38:$E$40,Primitives!$C$42:$E$44,Primitives!$C$46:$E$48,Primitives!$C$50:$E$52,Primitives!$C$54:$E$56,Primitives!$C$58:$E$60),$N27,AJ$13))</f>
        <v>0</v>
      </c>
      <c r="AK27" s="64">
        <f>IF(AND($K27=Calc.Top, AK$10=Calc.Left),Player.Direction,INDEX(CHOOSE(INDEX(MazeDef,$L27,AK$11),Primitives!$C$2:$E$4,Primitives!$C$6:$E$8,Primitives!$C$10:$E$12,Primitives!$C$14:$E$16,Primitives!$C$18:$E$20,Primitives!$C$22:$E$24,Primitives!$C$26:$E$28,Primitives!$C$30:$E$32,Primitives!$C$34:$E$36,Primitives!$C$38:$E$40,Primitives!$C$42:$E$44,Primitives!$C$46:$E$48,Primitives!$C$50:$E$52,Primitives!$C$54:$E$56,Primitives!$C$58:$E$60),$N27,AK$13))</f>
        <v>0</v>
      </c>
      <c r="AL27" s="64">
        <f>IF(AND($K27=Calc.Top, AL$10=Calc.Left),Player.Direction,INDEX(CHOOSE(INDEX(MazeDef,$L27,AL$11),Primitives!$C$2:$E$4,Primitives!$C$6:$E$8,Primitives!$C$10:$E$12,Primitives!$C$14:$E$16,Primitives!$C$18:$E$20,Primitives!$C$22:$E$24,Primitives!$C$26:$E$28,Primitives!$C$30:$E$32,Primitives!$C$34:$E$36,Primitives!$C$38:$E$40,Primitives!$C$42:$E$44,Primitives!$C$46:$E$48,Primitives!$C$50:$E$52,Primitives!$C$54:$E$56,Primitives!$C$58:$E$60),$N27,AL$13))</f>
        <v>1</v>
      </c>
      <c r="AM27" s="64">
        <f>IF(AND($K27=Calc.Top, AM$10=Calc.Left),Player.Direction,INDEX(CHOOSE(INDEX(MazeDef,$L27,AM$11),Primitives!$C$2:$E$4,Primitives!$C$6:$E$8,Primitives!$C$10:$E$12,Primitives!$C$14:$E$16,Primitives!$C$18:$E$20,Primitives!$C$22:$E$24,Primitives!$C$26:$E$28,Primitives!$C$30:$E$32,Primitives!$C$34:$E$36,Primitives!$C$38:$E$40,Primitives!$C$42:$E$44,Primitives!$C$46:$E$48,Primitives!$C$50:$E$52,Primitives!$C$54:$E$56,Primitives!$C$58:$E$60),$N27,AM$13))</f>
        <v>1</v>
      </c>
      <c r="AN27" s="64">
        <f>IF(AND($K27=Calc.Top, AN$10=Calc.Left),Player.Direction,INDEX(CHOOSE(INDEX(MazeDef,$L27,AN$11),Primitives!$C$2:$E$4,Primitives!$C$6:$E$8,Primitives!$C$10:$E$12,Primitives!$C$14:$E$16,Primitives!$C$18:$E$20,Primitives!$C$22:$E$24,Primitives!$C$26:$E$28,Primitives!$C$30:$E$32,Primitives!$C$34:$E$36,Primitives!$C$38:$E$40,Primitives!$C$42:$E$44,Primitives!$C$46:$E$48,Primitives!$C$50:$E$52,Primitives!$C$54:$E$56,Primitives!$C$58:$E$60),$N27,AN$13))</f>
        <v>0</v>
      </c>
      <c r="AO27" s="64">
        <f>IF(AND($K27=Calc.Top, AO$10=Calc.Left),Player.Direction,INDEX(CHOOSE(INDEX(MazeDef,$L27,AO$11),Primitives!$C$2:$E$4,Primitives!$C$6:$E$8,Primitives!$C$10:$E$12,Primitives!$C$14:$E$16,Primitives!$C$18:$E$20,Primitives!$C$22:$E$24,Primitives!$C$26:$E$28,Primitives!$C$30:$E$32,Primitives!$C$34:$E$36,Primitives!$C$38:$E$40,Primitives!$C$42:$E$44,Primitives!$C$46:$E$48,Primitives!$C$50:$E$52,Primitives!$C$54:$E$56,Primitives!$C$58:$E$60),$N27,AO$13))</f>
        <v>1</v>
      </c>
      <c r="AP27" s="64">
        <f>IF(AND($K27=Calc.Top, AP$10=Calc.Left),Player.Direction,INDEX(CHOOSE(INDEX(MazeDef,$L27,AP$11),Primitives!$C$2:$E$4,Primitives!$C$6:$E$8,Primitives!$C$10:$E$12,Primitives!$C$14:$E$16,Primitives!$C$18:$E$20,Primitives!$C$22:$E$24,Primitives!$C$26:$E$28,Primitives!$C$30:$E$32,Primitives!$C$34:$E$36,Primitives!$C$38:$E$40,Primitives!$C$42:$E$44,Primitives!$C$46:$E$48,Primitives!$C$50:$E$52,Primitives!$C$54:$E$56,Primitives!$C$58:$E$60),$N27,AP$13))</f>
        <v>1</v>
      </c>
      <c r="AQ27" s="64">
        <f>IF(AND($K27=Calc.Top, AQ$10=Calc.Left),Player.Direction,INDEX(CHOOSE(INDEX(MazeDef,$L27,AQ$11),Primitives!$C$2:$E$4,Primitives!$C$6:$E$8,Primitives!$C$10:$E$12,Primitives!$C$14:$E$16,Primitives!$C$18:$E$20,Primitives!$C$22:$E$24,Primitives!$C$26:$E$28,Primitives!$C$30:$E$32,Primitives!$C$34:$E$36,Primitives!$C$38:$E$40,Primitives!$C$42:$E$44,Primitives!$C$46:$E$48,Primitives!$C$50:$E$52,Primitives!$C$54:$E$56,Primitives!$C$58:$E$60),$N27,AQ$13))</f>
        <v>0</v>
      </c>
      <c r="AR27" s="64">
        <f>IF(AND($K27=Calc.Top, AR$10=Calc.Left),Player.Direction,INDEX(CHOOSE(INDEX(MazeDef,$L27,AR$11),Primitives!$C$2:$E$4,Primitives!$C$6:$E$8,Primitives!$C$10:$E$12,Primitives!$C$14:$E$16,Primitives!$C$18:$E$20,Primitives!$C$22:$E$24,Primitives!$C$26:$E$28,Primitives!$C$30:$E$32,Primitives!$C$34:$E$36,Primitives!$C$38:$E$40,Primitives!$C$42:$E$44,Primitives!$C$46:$E$48,Primitives!$C$50:$E$52,Primitives!$C$54:$E$56,Primitives!$C$58:$E$60),$N27,AR$13))</f>
        <v>1</v>
      </c>
      <c r="AS27" s="2"/>
      <c r="AT27" s="2"/>
      <c r="AU27" s="2"/>
      <c r="AV27" s="2"/>
    </row>
    <row r="28" spans="1:48" ht="9" customHeight="1" x14ac:dyDescent="0.25">
      <c r="A28" s="5"/>
      <c r="B28" s="21">
        <v>1</v>
      </c>
      <c r="C28" s="21">
        <v>1</v>
      </c>
      <c r="D28" s="21">
        <v>1</v>
      </c>
      <c r="E28" s="2"/>
      <c r="F28" s="2"/>
      <c r="G28" s="2"/>
      <c r="H28" s="2"/>
      <c r="I28" s="2"/>
      <c r="J28" s="2"/>
      <c r="K28" s="2">
        <v>15</v>
      </c>
      <c r="L28" s="2">
        <v>5</v>
      </c>
      <c r="M28" s="69"/>
      <c r="N28" s="9">
        <v>3</v>
      </c>
      <c r="O28" s="64">
        <f>IF(AND($K28=Calc.Top, O$10=Calc.Left),Player.Direction,INDEX(CHOOSE(INDEX(MazeDef,$L28,O$11),Primitives!$C$2:$E$4,Primitives!$C$6:$E$8,Primitives!$C$10:$E$12,Primitives!$C$14:$E$16,Primitives!$C$18:$E$20,Primitives!$C$22:$E$24,Primitives!$C$26:$E$28,Primitives!$C$30:$E$32,Primitives!$C$34:$E$36,Primitives!$C$38:$E$40,Primitives!$C$42:$E$44,Primitives!$C$46:$E$48,Primitives!$C$50:$E$52,Primitives!$C$54:$E$56,Primitives!$C$58:$E$60),$N28,O$13))</f>
        <v>1</v>
      </c>
      <c r="P28" s="64">
        <f>IF(AND($K28=Calc.Top, P$10=Calc.Left),Player.Direction,INDEX(CHOOSE(INDEX(MazeDef,$L28,P$11),Primitives!$C$2:$E$4,Primitives!$C$6:$E$8,Primitives!$C$10:$E$12,Primitives!$C$14:$E$16,Primitives!$C$18:$E$20,Primitives!$C$22:$E$24,Primitives!$C$26:$E$28,Primitives!$C$30:$E$32,Primitives!$C$34:$E$36,Primitives!$C$38:$E$40,Primitives!$C$42:$E$44,Primitives!$C$46:$E$48,Primitives!$C$50:$E$52,Primitives!$C$54:$E$56,Primitives!$C$58:$E$60),$N28,P$13))</f>
        <v>1</v>
      </c>
      <c r="Q28" s="64">
        <f>IF(AND($K28=Calc.Top, Q$10=Calc.Left),Player.Direction,INDEX(CHOOSE(INDEX(MazeDef,$L28,Q$11),Primitives!$C$2:$E$4,Primitives!$C$6:$E$8,Primitives!$C$10:$E$12,Primitives!$C$14:$E$16,Primitives!$C$18:$E$20,Primitives!$C$22:$E$24,Primitives!$C$26:$E$28,Primitives!$C$30:$E$32,Primitives!$C$34:$E$36,Primitives!$C$38:$E$40,Primitives!$C$42:$E$44,Primitives!$C$46:$E$48,Primitives!$C$50:$E$52,Primitives!$C$54:$E$56,Primitives!$C$58:$E$60),$N28,Q$13))</f>
        <v>1</v>
      </c>
      <c r="R28" s="64">
        <f>IF(AND($K28=Calc.Top, R$10=Calc.Left),Player.Direction,INDEX(CHOOSE(INDEX(MazeDef,$L28,R$11),Primitives!$C$2:$E$4,Primitives!$C$6:$E$8,Primitives!$C$10:$E$12,Primitives!$C$14:$E$16,Primitives!$C$18:$E$20,Primitives!$C$22:$E$24,Primitives!$C$26:$E$28,Primitives!$C$30:$E$32,Primitives!$C$34:$E$36,Primitives!$C$38:$E$40,Primitives!$C$42:$E$44,Primitives!$C$46:$E$48,Primitives!$C$50:$E$52,Primitives!$C$54:$E$56,Primitives!$C$58:$E$60),$N28,R$13))</f>
        <v>1</v>
      </c>
      <c r="S28" s="64">
        <f>IF(AND($K28=Calc.Top, S$10=Calc.Left),Player.Direction,INDEX(CHOOSE(INDEX(MazeDef,$L28,S$11),Primitives!$C$2:$E$4,Primitives!$C$6:$E$8,Primitives!$C$10:$E$12,Primitives!$C$14:$E$16,Primitives!$C$18:$E$20,Primitives!$C$22:$E$24,Primitives!$C$26:$E$28,Primitives!$C$30:$E$32,Primitives!$C$34:$E$36,Primitives!$C$38:$E$40,Primitives!$C$42:$E$44,Primitives!$C$46:$E$48,Primitives!$C$50:$E$52,Primitives!$C$54:$E$56,Primitives!$C$58:$E$60),$N28,S$13))</f>
        <v>1</v>
      </c>
      <c r="T28" s="64">
        <f>IF(AND($K28=Calc.Top, T$10=Calc.Left),Player.Direction,INDEX(CHOOSE(INDEX(MazeDef,$L28,T$11),Primitives!$C$2:$E$4,Primitives!$C$6:$E$8,Primitives!$C$10:$E$12,Primitives!$C$14:$E$16,Primitives!$C$18:$E$20,Primitives!$C$22:$E$24,Primitives!$C$26:$E$28,Primitives!$C$30:$E$32,Primitives!$C$34:$E$36,Primitives!$C$38:$E$40,Primitives!$C$42:$E$44,Primitives!$C$46:$E$48,Primitives!$C$50:$E$52,Primitives!$C$54:$E$56,Primitives!$C$58:$E$60),$N28,T$13))</f>
        <v>1</v>
      </c>
      <c r="U28" s="64">
        <f>IF(AND($K28=Calc.Top, U$10=Calc.Left),Player.Direction,INDEX(CHOOSE(INDEX(MazeDef,$L28,U$11),Primitives!$C$2:$E$4,Primitives!$C$6:$E$8,Primitives!$C$10:$E$12,Primitives!$C$14:$E$16,Primitives!$C$18:$E$20,Primitives!$C$22:$E$24,Primitives!$C$26:$E$28,Primitives!$C$30:$E$32,Primitives!$C$34:$E$36,Primitives!$C$38:$E$40,Primitives!$C$42:$E$44,Primitives!$C$46:$E$48,Primitives!$C$50:$E$52,Primitives!$C$54:$E$56,Primitives!$C$58:$E$60),$N28,U$13))</f>
        <v>1</v>
      </c>
      <c r="V28" s="64">
        <f>IF(AND($K28=Calc.Top, V$10=Calc.Left),Player.Direction,INDEX(CHOOSE(INDEX(MazeDef,$L28,V$11),Primitives!$C$2:$E$4,Primitives!$C$6:$E$8,Primitives!$C$10:$E$12,Primitives!$C$14:$E$16,Primitives!$C$18:$E$20,Primitives!$C$22:$E$24,Primitives!$C$26:$E$28,Primitives!$C$30:$E$32,Primitives!$C$34:$E$36,Primitives!$C$38:$E$40,Primitives!$C$42:$E$44,Primitives!$C$46:$E$48,Primitives!$C$50:$E$52,Primitives!$C$54:$E$56,Primitives!$C$58:$E$60),$N28,V$13))</f>
        <v>1</v>
      </c>
      <c r="W28" s="64">
        <f>IF(AND($K28=Calc.Top, W$10=Calc.Left),Player.Direction,INDEX(CHOOSE(INDEX(MazeDef,$L28,W$11),Primitives!$C$2:$E$4,Primitives!$C$6:$E$8,Primitives!$C$10:$E$12,Primitives!$C$14:$E$16,Primitives!$C$18:$E$20,Primitives!$C$22:$E$24,Primitives!$C$26:$E$28,Primitives!$C$30:$E$32,Primitives!$C$34:$E$36,Primitives!$C$38:$E$40,Primitives!$C$42:$E$44,Primitives!$C$46:$E$48,Primitives!$C$50:$E$52,Primitives!$C$54:$E$56,Primitives!$C$58:$E$60),$N28,W$13))</f>
        <v>1</v>
      </c>
      <c r="X28" s="64">
        <f>IF(AND($K28=Calc.Top, X$10=Calc.Left),Player.Direction,INDEX(CHOOSE(INDEX(MazeDef,$L28,X$11),Primitives!$C$2:$E$4,Primitives!$C$6:$E$8,Primitives!$C$10:$E$12,Primitives!$C$14:$E$16,Primitives!$C$18:$E$20,Primitives!$C$22:$E$24,Primitives!$C$26:$E$28,Primitives!$C$30:$E$32,Primitives!$C$34:$E$36,Primitives!$C$38:$E$40,Primitives!$C$42:$E$44,Primitives!$C$46:$E$48,Primitives!$C$50:$E$52,Primitives!$C$54:$E$56,Primitives!$C$58:$E$60),$N28,X$13))</f>
        <v>1</v>
      </c>
      <c r="Y28" s="64">
        <f>IF(AND($K28=Calc.Top, Y$10=Calc.Left),Player.Direction,INDEX(CHOOSE(INDEX(MazeDef,$L28,Y$11),Primitives!$C$2:$E$4,Primitives!$C$6:$E$8,Primitives!$C$10:$E$12,Primitives!$C$14:$E$16,Primitives!$C$18:$E$20,Primitives!$C$22:$E$24,Primitives!$C$26:$E$28,Primitives!$C$30:$E$32,Primitives!$C$34:$E$36,Primitives!$C$38:$E$40,Primitives!$C$42:$E$44,Primitives!$C$46:$E$48,Primitives!$C$50:$E$52,Primitives!$C$54:$E$56,Primitives!$C$58:$E$60),$N28,Y$13))</f>
        <v>0</v>
      </c>
      <c r="Z28" s="64">
        <f>IF(AND($K28=Calc.Top, Z$10=Calc.Left),Player.Direction,INDEX(CHOOSE(INDEX(MazeDef,$L28,Z$11),Primitives!$C$2:$E$4,Primitives!$C$6:$E$8,Primitives!$C$10:$E$12,Primitives!$C$14:$E$16,Primitives!$C$18:$E$20,Primitives!$C$22:$E$24,Primitives!$C$26:$E$28,Primitives!$C$30:$E$32,Primitives!$C$34:$E$36,Primitives!$C$38:$E$40,Primitives!$C$42:$E$44,Primitives!$C$46:$E$48,Primitives!$C$50:$E$52,Primitives!$C$54:$E$56,Primitives!$C$58:$E$60),$N28,Z$13))</f>
        <v>1</v>
      </c>
      <c r="AA28" s="64">
        <f>IF(AND($K28=Calc.Top, AA$10=Calc.Left),Player.Direction,INDEX(CHOOSE(INDEX(MazeDef,$L28,AA$11),Primitives!$C$2:$E$4,Primitives!$C$6:$E$8,Primitives!$C$10:$E$12,Primitives!$C$14:$E$16,Primitives!$C$18:$E$20,Primitives!$C$22:$E$24,Primitives!$C$26:$E$28,Primitives!$C$30:$E$32,Primitives!$C$34:$E$36,Primitives!$C$38:$E$40,Primitives!$C$42:$E$44,Primitives!$C$46:$E$48,Primitives!$C$50:$E$52,Primitives!$C$54:$E$56,Primitives!$C$58:$E$60),$N28,AA$13))</f>
        <v>1</v>
      </c>
      <c r="AB28" s="64">
        <f>IF(AND($K28=Calc.Top, AB$10=Calc.Left),Player.Direction,INDEX(CHOOSE(INDEX(MazeDef,$L28,AB$11),Primitives!$C$2:$E$4,Primitives!$C$6:$E$8,Primitives!$C$10:$E$12,Primitives!$C$14:$E$16,Primitives!$C$18:$E$20,Primitives!$C$22:$E$24,Primitives!$C$26:$E$28,Primitives!$C$30:$E$32,Primitives!$C$34:$E$36,Primitives!$C$38:$E$40,Primitives!$C$42:$E$44,Primitives!$C$46:$E$48,Primitives!$C$50:$E$52,Primitives!$C$54:$E$56,Primitives!$C$58:$E$60),$N28,AB$13))</f>
        <v>0</v>
      </c>
      <c r="AC28" s="64">
        <f>IF(AND($K28=Calc.Top, AC$10=Calc.Left),Player.Direction,INDEX(CHOOSE(INDEX(MazeDef,$L28,AC$11),Primitives!$C$2:$E$4,Primitives!$C$6:$E$8,Primitives!$C$10:$E$12,Primitives!$C$14:$E$16,Primitives!$C$18:$E$20,Primitives!$C$22:$E$24,Primitives!$C$26:$E$28,Primitives!$C$30:$E$32,Primitives!$C$34:$E$36,Primitives!$C$38:$E$40,Primitives!$C$42:$E$44,Primitives!$C$46:$E$48,Primitives!$C$50:$E$52,Primitives!$C$54:$E$56,Primitives!$C$58:$E$60),$N28,AC$13))</f>
        <v>1</v>
      </c>
      <c r="AD28" s="64">
        <f>IF(AND($K28=Calc.Top, AD$10=Calc.Left),Player.Direction,INDEX(CHOOSE(INDEX(MazeDef,$L28,AD$11),Primitives!$C$2:$E$4,Primitives!$C$6:$E$8,Primitives!$C$10:$E$12,Primitives!$C$14:$E$16,Primitives!$C$18:$E$20,Primitives!$C$22:$E$24,Primitives!$C$26:$E$28,Primitives!$C$30:$E$32,Primitives!$C$34:$E$36,Primitives!$C$38:$E$40,Primitives!$C$42:$E$44,Primitives!$C$46:$E$48,Primitives!$C$50:$E$52,Primitives!$C$54:$E$56,Primitives!$C$58:$E$60),$N28,AD$13))</f>
        <v>1</v>
      </c>
      <c r="AE28" s="64">
        <f>IF(AND($K28=Calc.Top, AE$10=Calc.Left),Player.Direction,INDEX(CHOOSE(INDEX(MazeDef,$L28,AE$11),Primitives!$C$2:$E$4,Primitives!$C$6:$E$8,Primitives!$C$10:$E$12,Primitives!$C$14:$E$16,Primitives!$C$18:$E$20,Primitives!$C$22:$E$24,Primitives!$C$26:$E$28,Primitives!$C$30:$E$32,Primitives!$C$34:$E$36,Primitives!$C$38:$E$40,Primitives!$C$42:$E$44,Primitives!$C$46:$E$48,Primitives!$C$50:$E$52,Primitives!$C$54:$E$56,Primitives!$C$58:$E$60),$N28,AE$13))</f>
        <v>1</v>
      </c>
      <c r="AF28" s="64">
        <f>IF(AND($K28=Calc.Top, AF$10=Calc.Left),Player.Direction,INDEX(CHOOSE(INDEX(MazeDef,$L28,AF$11),Primitives!$C$2:$E$4,Primitives!$C$6:$E$8,Primitives!$C$10:$E$12,Primitives!$C$14:$E$16,Primitives!$C$18:$E$20,Primitives!$C$22:$E$24,Primitives!$C$26:$E$28,Primitives!$C$30:$E$32,Primitives!$C$34:$E$36,Primitives!$C$38:$E$40,Primitives!$C$42:$E$44,Primitives!$C$46:$E$48,Primitives!$C$50:$E$52,Primitives!$C$54:$E$56,Primitives!$C$58:$E$60),$N28,AF$13))</f>
        <v>1</v>
      </c>
      <c r="AG28" s="64">
        <f>IF(AND($K28=Calc.Top, AG$10=Calc.Left),Player.Direction,INDEX(CHOOSE(INDEX(MazeDef,$L28,AG$11),Primitives!$C$2:$E$4,Primitives!$C$6:$E$8,Primitives!$C$10:$E$12,Primitives!$C$14:$E$16,Primitives!$C$18:$E$20,Primitives!$C$22:$E$24,Primitives!$C$26:$E$28,Primitives!$C$30:$E$32,Primitives!$C$34:$E$36,Primitives!$C$38:$E$40,Primitives!$C$42:$E$44,Primitives!$C$46:$E$48,Primitives!$C$50:$E$52,Primitives!$C$54:$E$56,Primitives!$C$58:$E$60),$N28,AG$13))</f>
        <v>1</v>
      </c>
      <c r="AH28" s="64">
        <f>IF(AND($K28=Calc.Top, AH$10=Calc.Left),Player.Direction,INDEX(CHOOSE(INDEX(MazeDef,$L28,AH$11),Primitives!$C$2:$E$4,Primitives!$C$6:$E$8,Primitives!$C$10:$E$12,Primitives!$C$14:$E$16,Primitives!$C$18:$E$20,Primitives!$C$22:$E$24,Primitives!$C$26:$E$28,Primitives!$C$30:$E$32,Primitives!$C$34:$E$36,Primitives!$C$38:$E$40,Primitives!$C$42:$E$44,Primitives!$C$46:$E$48,Primitives!$C$50:$E$52,Primitives!$C$54:$E$56,Primitives!$C$58:$E$60),$N28,AH$13))</f>
        <v>1</v>
      </c>
      <c r="AI28" s="64">
        <f>IF(AND($K28=Calc.Top, AI$10=Calc.Left),Player.Direction,INDEX(CHOOSE(INDEX(MazeDef,$L28,AI$11),Primitives!$C$2:$E$4,Primitives!$C$6:$E$8,Primitives!$C$10:$E$12,Primitives!$C$14:$E$16,Primitives!$C$18:$E$20,Primitives!$C$22:$E$24,Primitives!$C$26:$E$28,Primitives!$C$30:$E$32,Primitives!$C$34:$E$36,Primitives!$C$38:$E$40,Primitives!$C$42:$E$44,Primitives!$C$46:$E$48,Primitives!$C$50:$E$52,Primitives!$C$54:$E$56,Primitives!$C$58:$E$60),$N28,AI$13))</f>
        <v>1</v>
      </c>
      <c r="AJ28" s="64">
        <f>IF(AND($K28=Calc.Top, AJ$10=Calc.Left),Player.Direction,INDEX(CHOOSE(INDEX(MazeDef,$L28,AJ$11),Primitives!$C$2:$E$4,Primitives!$C$6:$E$8,Primitives!$C$10:$E$12,Primitives!$C$14:$E$16,Primitives!$C$18:$E$20,Primitives!$C$22:$E$24,Primitives!$C$26:$E$28,Primitives!$C$30:$E$32,Primitives!$C$34:$E$36,Primitives!$C$38:$E$40,Primitives!$C$42:$E$44,Primitives!$C$46:$E$48,Primitives!$C$50:$E$52,Primitives!$C$54:$E$56,Primitives!$C$58:$E$60),$N28,AJ$13))</f>
        <v>1</v>
      </c>
      <c r="AK28" s="64">
        <f>IF(AND($K28=Calc.Top, AK$10=Calc.Left),Player.Direction,INDEX(CHOOSE(INDEX(MazeDef,$L28,AK$11),Primitives!$C$2:$E$4,Primitives!$C$6:$E$8,Primitives!$C$10:$E$12,Primitives!$C$14:$E$16,Primitives!$C$18:$E$20,Primitives!$C$22:$E$24,Primitives!$C$26:$E$28,Primitives!$C$30:$E$32,Primitives!$C$34:$E$36,Primitives!$C$38:$E$40,Primitives!$C$42:$E$44,Primitives!$C$46:$E$48,Primitives!$C$50:$E$52,Primitives!$C$54:$E$56,Primitives!$C$58:$E$60),$N28,AK$13))</f>
        <v>0</v>
      </c>
      <c r="AL28" s="64">
        <f>IF(AND($K28=Calc.Top, AL$10=Calc.Left),Player.Direction,INDEX(CHOOSE(INDEX(MazeDef,$L28,AL$11),Primitives!$C$2:$E$4,Primitives!$C$6:$E$8,Primitives!$C$10:$E$12,Primitives!$C$14:$E$16,Primitives!$C$18:$E$20,Primitives!$C$22:$E$24,Primitives!$C$26:$E$28,Primitives!$C$30:$E$32,Primitives!$C$34:$E$36,Primitives!$C$38:$E$40,Primitives!$C$42:$E$44,Primitives!$C$46:$E$48,Primitives!$C$50:$E$52,Primitives!$C$54:$E$56,Primitives!$C$58:$E$60),$N28,AL$13))</f>
        <v>1</v>
      </c>
      <c r="AM28" s="64">
        <f>IF(AND($K28=Calc.Top, AM$10=Calc.Left),Player.Direction,INDEX(CHOOSE(INDEX(MazeDef,$L28,AM$11),Primitives!$C$2:$E$4,Primitives!$C$6:$E$8,Primitives!$C$10:$E$12,Primitives!$C$14:$E$16,Primitives!$C$18:$E$20,Primitives!$C$22:$E$24,Primitives!$C$26:$E$28,Primitives!$C$30:$E$32,Primitives!$C$34:$E$36,Primitives!$C$38:$E$40,Primitives!$C$42:$E$44,Primitives!$C$46:$E$48,Primitives!$C$50:$E$52,Primitives!$C$54:$E$56,Primitives!$C$58:$E$60),$N28,AM$13))</f>
        <v>1</v>
      </c>
      <c r="AN28" s="64">
        <f>IF(AND($K28=Calc.Top, AN$10=Calc.Left),Player.Direction,INDEX(CHOOSE(INDEX(MazeDef,$L28,AN$11),Primitives!$C$2:$E$4,Primitives!$C$6:$E$8,Primitives!$C$10:$E$12,Primitives!$C$14:$E$16,Primitives!$C$18:$E$20,Primitives!$C$22:$E$24,Primitives!$C$26:$E$28,Primitives!$C$30:$E$32,Primitives!$C$34:$E$36,Primitives!$C$38:$E$40,Primitives!$C$42:$E$44,Primitives!$C$46:$E$48,Primitives!$C$50:$E$52,Primitives!$C$54:$E$56,Primitives!$C$58:$E$60),$N28,AN$13))</f>
        <v>0</v>
      </c>
      <c r="AO28" s="64">
        <f>IF(AND($K28=Calc.Top, AO$10=Calc.Left),Player.Direction,INDEX(CHOOSE(INDEX(MazeDef,$L28,AO$11),Primitives!$C$2:$E$4,Primitives!$C$6:$E$8,Primitives!$C$10:$E$12,Primitives!$C$14:$E$16,Primitives!$C$18:$E$20,Primitives!$C$22:$E$24,Primitives!$C$26:$E$28,Primitives!$C$30:$E$32,Primitives!$C$34:$E$36,Primitives!$C$38:$E$40,Primitives!$C$42:$E$44,Primitives!$C$46:$E$48,Primitives!$C$50:$E$52,Primitives!$C$54:$E$56,Primitives!$C$58:$E$60),$N28,AO$13))</f>
        <v>1</v>
      </c>
      <c r="AP28" s="64">
        <f>IF(AND($K28=Calc.Top, AP$10=Calc.Left),Player.Direction,INDEX(CHOOSE(INDEX(MazeDef,$L28,AP$11),Primitives!$C$2:$E$4,Primitives!$C$6:$E$8,Primitives!$C$10:$E$12,Primitives!$C$14:$E$16,Primitives!$C$18:$E$20,Primitives!$C$22:$E$24,Primitives!$C$26:$E$28,Primitives!$C$30:$E$32,Primitives!$C$34:$E$36,Primitives!$C$38:$E$40,Primitives!$C$42:$E$44,Primitives!$C$46:$E$48,Primitives!$C$50:$E$52,Primitives!$C$54:$E$56,Primitives!$C$58:$E$60),$N28,AP$13))</f>
        <v>1</v>
      </c>
      <c r="AQ28" s="64">
        <f>IF(AND($K28=Calc.Top, AQ$10=Calc.Left),Player.Direction,INDEX(CHOOSE(INDEX(MazeDef,$L28,AQ$11),Primitives!$C$2:$E$4,Primitives!$C$6:$E$8,Primitives!$C$10:$E$12,Primitives!$C$14:$E$16,Primitives!$C$18:$E$20,Primitives!$C$22:$E$24,Primitives!$C$26:$E$28,Primitives!$C$30:$E$32,Primitives!$C$34:$E$36,Primitives!$C$38:$E$40,Primitives!$C$42:$E$44,Primitives!$C$46:$E$48,Primitives!$C$50:$E$52,Primitives!$C$54:$E$56,Primitives!$C$58:$E$60),$N28,AQ$13))</f>
        <v>0</v>
      </c>
      <c r="AR28" s="64">
        <f>IF(AND($K28=Calc.Top, AR$10=Calc.Left),Player.Direction,INDEX(CHOOSE(INDEX(MazeDef,$L28,AR$11),Primitives!$C$2:$E$4,Primitives!$C$6:$E$8,Primitives!$C$10:$E$12,Primitives!$C$14:$E$16,Primitives!$C$18:$E$20,Primitives!$C$22:$E$24,Primitives!$C$26:$E$28,Primitives!$C$30:$E$32,Primitives!$C$34:$E$36,Primitives!$C$38:$E$40,Primitives!$C$42:$E$44,Primitives!$C$46:$E$48,Primitives!$C$50:$E$52,Primitives!$C$54:$E$56,Primitives!$C$58:$E$60),$N28,AR$13))</f>
        <v>1</v>
      </c>
      <c r="AS28" s="2"/>
      <c r="AT28" s="2"/>
      <c r="AU28" s="2"/>
      <c r="AV28" s="2"/>
    </row>
    <row r="29" spans="1:48" ht="9" customHeight="1" x14ac:dyDescent="0.25">
      <c r="A29" s="5"/>
      <c r="B29" s="21"/>
      <c r="C29" s="21"/>
      <c r="D29" s="21"/>
      <c r="E29" s="2"/>
      <c r="F29" s="2"/>
      <c r="G29" s="2"/>
      <c r="H29" s="2"/>
      <c r="I29" s="2"/>
      <c r="J29" s="2"/>
      <c r="K29" s="2">
        <v>16</v>
      </c>
      <c r="L29" s="2">
        <v>6</v>
      </c>
      <c r="M29" s="67">
        <v>6</v>
      </c>
      <c r="N29" s="7">
        <v>1</v>
      </c>
      <c r="O29" s="64">
        <f>IF(AND($K29=Calc.Top, O$10=Calc.Left),Player.Direction,INDEX(CHOOSE(INDEX(MazeDef,$L29,O$11),Primitives!$C$2:$E$4,Primitives!$C$6:$E$8,Primitives!$C$10:$E$12,Primitives!$C$14:$E$16,Primitives!$C$18:$E$20,Primitives!$C$22:$E$24,Primitives!$C$26:$E$28,Primitives!$C$30:$E$32,Primitives!$C$34:$E$36,Primitives!$C$38:$E$40,Primitives!$C$42:$E$44,Primitives!$C$46:$E$48,Primitives!$C$50:$E$52,Primitives!$C$54:$E$56,Primitives!$C$58:$E$60),$N29,O$13))</f>
        <v>1</v>
      </c>
      <c r="P29" s="64">
        <f>IF(AND($K29=Calc.Top, P$10=Calc.Left),Player.Direction,INDEX(CHOOSE(INDEX(MazeDef,$L29,P$11),Primitives!$C$2:$E$4,Primitives!$C$6:$E$8,Primitives!$C$10:$E$12,Primitives!$C$14:$E$16,Primitives!$C$18:$E$20,Primitives!$C$22:$E$24,Primitives!$C$26:$E$28,Primitives!$C$30:$E$32,Primitives!$C$34:$E$36,Primitives!$C$38:$E$40,Primitives!$C$42:$E$44,Primitives!$C$46:$E$48,Primitives!$C$50:$E$52,Primitives!$C$54:$E$56,Primitives!$C$58:$E$60),$N29,P$13))</f>
        <v>1</v>
      </c>
      <c r="Q29" s="64">
        <f>IF(AND($K29=Calc.Top, Q$10=Calc.Left),Player.Direction,INDEX(CHOOSE(INDEX(MazeDef,$L29,Q$11),Primitives!$C$2:$E$4,Primitives!$C$6:$E$8,Primitives!$C$10:$E$12,Primitives!$C$14:$E$16,Primitives!$C$18:$E$20,Primitives!$C$22:$E$24,Primitives!$C$26:$E$28,Primitives!$C$30:$E$32,Primitives!$C$34:$E$36,Primitives!$C$38:$E$40,Primitives!$C$42:$E$44,Primitives!$C$46:$E$48,Primitives!$C$50:$E$52,Primitives!$C$54:$E$56,Primitives!$C$58:$E$60),$N29,Q$13))</f>
        <v>1</v>
      </c>
      <c r="R29" s="64">
        <f>IF(AND($K29=Calc.Top, R$10=Calc.Left),Player.Direction,INDEX(CHOOSE(INDEX(MazeDef,$L29,R$11),Primitives!$C$2:$E$4,Primitives!$C$6:$E$8,Primitives!$C$10:$E$12,Primitives!$C$14:$E$16,Primitives!$C$18:$E$20,Primitives!$C$22:$E$24,Primitives!$C$26:$E$28,Primitives!$C$30:$E$32,Primitives!$C$34:$E$36,Primitives!$C$38:$E$40,Primitives!$C$42:$E$44,Primitives!$C$46:$E$48,Primitives!$C$50:$E$52,Primitives!$C$54:$E$56,Primitives!$C$58:$E$60),$N29,R$13))</f>
        <v>1</v>
      </c>
      <c r="S29" s="64">
        <f>IF(AND($K29=Calc.Top, S$10=Calc.Left),Player.Direction,INDEX(CHOOSE(INDEX(MazeDef,$L29,S$11),Primitives!$C$2:$E$4,Primitives!$C$6:$E$8,Primitives!$C$10:$E$12,Primitives!$C$14:$E$16,Primitives!$C$18:$E$20,Primitives!$C$22:$E$24,Primitives!$C$26:$E$28,Primitives!$C$30:$E$32,Primitives!$C$34:$E$36,Primitives!$C$38:$E$40,Primitives!$C$42:$E$44,Primitives!$C$46:$E$48,Primitives!$C$50:$E$52,Primitives!$C$54:$E$56,Primitives!$C$58:$E$60),$N29,S$13))</f>
        <v>1</v>
      </c>
      <c r="T29" s="64">
        <f>IF(AND($K29=Calc.Top, T$10=Calc.Left),Player.Direction,INDEX(CHOOSE(INDEX(MazeDef,$L29,T$11),Primitives!$C$2:$E$4,Primitives!$C$6:$E$8,Primitives!$C$10:$E$12,Primitives!$C$14:$E$16,Primitives!$C$18:$E$20,Primitives!$C$22:$E$24,Primitives!$C$26:$E$28,Primitives!$C$30:$E$32,Primitives!$C$34:$E$36,Primitives!$C$38:$E$40,Primitives!$C$42:$E$44,Primitives!$C$46:$E$48,Primitives!$C$50:$E$52,Primitives!$C$54:$E$56,Primitives!$C$58:$E$60),$N29,T$13))</f>
        <v>1</v>
      </c>
      <c r="U29" s="64">
        <f>IF(AND($K29=Calc.Top, U$10=Calc.Left),Player.Direction,INDEX(CHOOSE(INDEX(MazeDef,$L29,U$11),Primitives!$C$2:$E$4,Primitives!$C$6:$E$8,Primitives!$C$10:$E$12,Primitives!$C$14:$E$16,Primitives!$C$18:$E$20,Primitives!$C$22:$E$24,Primitives!$C$26:$E$28,Primitives!$C$30:$E$32,Primitives!$C$34:$E$36,Primitives!$C$38:$E$40,Primitives!$C$42:$E$44,Primitives!$C$46:$E$48,Primitives!$C$50:$E$52,Primitives!$C$54:$E$56,Primitives!$C$58:$E$60),$N29,U$13))</f>
        <v>1</v>
      </c>
      <c r="V29" s="64">
        <f>IF(AND($K29=Calc.Top, V$10=Calc.Left),Player.Direction,INDEX(CHOOSE(INDEX(MazeDef,$L29,V$11),Primitives!$C$2:$E$4,Primitives!$C$6:$E$8,Primitives!$C$10:$E$12,Primitives!$C$14:$E$16,Primitives!$C$18:$E$20,Primitives!$C$22:$E$24,Primitives!$C$26:$E$28,Primitives!$C$30:$E$32,Primitives!$C$34:$E$36,Primitives!$C$38:$E$40,Primitives!$C$42:$E$44,Primitives!$C$46:$E$48,Primitives!$C$50:$E$52,Primitives!$C$54:$E$56,Primitives!$C$58:$E$60),$N29,V$13))</f>
        <v>1</v>
      </c>
      <c r="W29" s="64">
        <f>IF(AND($K29=Calc.Top, W$10=Calc.Left),Player.Direction,INDEX(CHOOSE(INDEX(MazeDef,$L29,W$11),Primitives!$C$2:$E$4,Primitives!$C$6:$E$8,Primitives!$C$10:$E$12,Primitives!$C$14:$E$16,Primitives!$C$18:$E$20,Primitives!$C$22:$E$24,Primitives!$C$26:$E$28,Primitives!$C$30:$E$32,Primitives!$C$34:$E$36,Primitives!$C$38:$E$40,Primitives!$C$42:$E$44,Primitives!$C$46:$E$48,Primitives!$C$50:$E$52,Primitives!$C$54:$E$56,Primitives!$C$58:$E$60),$N29,W$13))</f>
        <v>1</v>
      </c>
      <c r="X29" s="64">
        <f>IF(AND($K29=Calc.Top, X$10=Calc.Left),Player.Direction,INDEX(CHOOSE(INDEX(MazeDef,$L29,X$11),Primitives!$C$2:$E$4,Primitives!$C$6:$E$8,Primitives!$C$10:$E$12,Primitives!$C$14:$E$16,Primitives!$C$18:$E$20,Primitives!$C$22:$E$24,Primitives!$C$26:$E$28,Primitives!$C$30:$E$32,Primitives!$C$34:$E$36,Primitives!$C$38:$E$40,Primitives!$C$42:$E$44,Primitives!$C$46:$E$48,Primitives!$C$50:$E$52,Primitives!$C$54:$E$56,Primitives!$C$58:$E$60),$N29,X$13))</f>
        <v>1</v>
      </c>
      <c r="Y29" s="64">
        <f>IF(AND($K29=Calc.Top, Y$10=Calc.Left),Player.Direction,INDEX(CHOOSE(INDEX(MazeDef,$L29,Y$11),Primitives!$C$2:$E$4,Primitives!$C$6:$E$8,Primitives!$C$10:$E$12,Primitives!$C$14:$E$16,Primitives!$C$18:$E$20,Primitives!$C$22:$E$24,Primitives!$C$26:$E$28,Primitives!$C$30:$E$32,Primitives!$C$34:$E$36,Primitives!$C$38:$E$40,Primitives!$C$42:$E$44,Primitives!$C$46:$E$48,Primitives!$C$50:$E$52,Primitives!$C$54:$E$56,Primitives!$C$58:$E$60),$N29,Y$13))</f>
        <v>0</v>
      </c>
      <c r="Z29" s="64">
        <f>IF(AND($K29=Calc.Top, Z$10=Calc.Left),Player.Direction,INDEX(CHOOSE(INDEX(MazeDef,$L29,Z$11),Primitives!$C$2:$E$4,Primitives!$C$6:$E$8,Primitives!$C$10:$E$12,Primitives!$C$14:$E$16,Primitives!$C$18:$E$20,Primitives!$C$22:$E$24,Primitives!$C$26:$E$28,Primitives!$C$30:$E$32,Primitives!$C$34:$E$36,Primitives!$C$38:$E$40,Primitives!$C$42:$E$44,Primitives!$C$46:$E$48,Primitives!$C$50:$E$52,Primitives!$C$54:$E$56,Primitives!$C$58:$E$60),$N29,Z$13))</f>
        <v>1</v>
      </c>
      <c r="AA29" s="64">
        <f>IF(AND($K29=Calc.Top, AA$10=Calc.Left),Player.Direction,INDEX(CHOOSE(INDEX(MazeDef,$L29,AA$11),Primitives!$C$2:$E$4,Primitives!$C$6:$E$8,Primitives!$C$10:$E$12,Primitives!$C$14:$E$16,Primitives!$C$18:$E$20,Primitives!$C$22:$E$24,Primitives!$C$26:$E$28,Primitives!$C$30:$E$32,Primitives!$C$34:$E$36,Primitives!$C$38:$E$40,Primitives!$C$42:$E$44,Primitives!$C$46:$E$48,Primitives!$C$50:$E$52,Primitives!$C$54:$E$56,Primitives!$C$58:$E$60),$N29,AA$13))</f>
        <v>1</v>
      </c>
      <c r="AB29" s="64">
        <f>IF(AND($K29=Calc.Top, AB$10=Calc.Left),Player.Direction,INDEX(CHOOSE(INDEX(MazeDef,$L29,AB$11),Primitives!$C$2:$E$4,Primitives!$C$6:$E$8,Primitives!$C$10:$E$12,Primitives!$C$14:$E$16,Primitives!$C$18:$E$20,Primitives!$C$22:$E$24,Primitives!$C$26:$E$28,Primitives!$C$30:$E$32,Primitives!$C$34:$E$36,Primitives!$C$38:$E$40,Primitives!$C$42:$E$44,Primitives!$C$46:$E$48,Primitives!$C$50:$E$52,Primitives!$C$54:$E$56,Primitives!$C$58:$E$60),$N29,AB$13))</f>
        <v>0</v>
      </c>
      <c r="AC29" s="64">
        <f>IF(AND($K29=Calc.Top, AC$10=Calc.Left),Player.Direction,INDEX(CHOOSE(INDEX(MazeDef,$L29,AC$11),Primitives!$C$2:$E$4,Primitives!$C$6:$E$8,Primitives!$C$10:$E$12,Primitives!$C$14:$E$16,Primitives!$C$18:$E$20,Primitives!$C$22:$E$24,Primitives!$C$26:$E$28,Primitives!$C$30:$E$32,Primitives!$C$34:$E$36,Primitives!$C$38:$E$40,Primitives!$C$42:$E$44,Primitives!$C$46:$E$48,Primitives!$C$50:$E$52,Primitives!$C$54:$E$56,Primitives!$C$58:$E$60),$N29,AC$13))</f>
        <v>1</v>
      </c>
      <c r="AD29" s="64">
        <f>IF(AND($K29=Calc.Top, AD$10=Calc.Left),Player.Direction,INDEX(CHOOSE(INDEX(MazeDef,$L29,AD$11),Primitives!$C$2:$E$4,Primitives!$C$6:$E$8,Primitives!$C$10:$E$12,Primitives!$C$14:$E$16,Primitives!$C$18:$E$20,Primitives!$C$22:$E$24,Primitives!$C$26:$E$28,Primitives!$C$30:$E$32,Primitives!$C$34:$E$36,Primitives!$C$38:$E$40,Primitives!$C$42:$E$44,Primitives!$C$46:$E$48,Primitives!$C$50:$E$52,Primitives!$C$54:$E$56,Primitives!$C$58:$E$60),$N29,AD$13))</f>
        <v>1</v>
      </c>
      <c r="AE29" s="64">
        <f>IF(AND($K29=Calc.Top, AE$10=Calc.Left),Player.Direction,INDEX(CHOOSE(INDEX(MazeDef,$L29,AE$11),Primitives!$C$2:$E$4,Primitives!$C$6:$E$8,Primitives!$C$10:$E$12,Primitives!$C$14:$E$16,Primitives!$C$18:$E$20,Primitives!$C$22:$E$24,Primitives!$C$26:$E$28,Primitives!$C$30:$E$32,Primitives!$C$34:$E$36,Primitives!$C$38:$E$40,Primitives!$C$42:$E$44,Primitives!$C$46:$E$48,Primitives!$C$50:$E$52,Primitives!$C$54:$E$56,Primitives!$C$58:$E$60),$N29,AE$13))</f>
        <v>1</v>
      </c>
      <c r="AF29" s="64">
        <f>IF(AND($K29=Calc.Top, AF$10=Calc.Left),Player.Direction,INDEX(CHOOSE(INDEX(MazeDef,$L29,AF$11),Primitives!$C$2:$E$4,Primitives!$C$6:$E$8,Primitives!$C$10:$E$12,Primitives!$C$14:$E$16,Primitives!$C$18:$E$20,Primitives!$C$22:$E$24,Primitives!$C$26:$E$28,Primitives!$C$30:$E$32,Primitives!$C$34:$E$36,Primitives!$C$38:$E$40,Primitives!$C$42:$E$44,Primitives!$C$46:$E$48,Primitives!$C$50:$E$52,Primitives!$C$54:$E$56,Primitives!$C$58:$E$60),$N29,AF$13))</f>
        <v>1</v>
      </c>
      <c r="AG29" s="64">
        <f>IF(AND($K29=Calc.Top, AG$10=Calc.Left),Player.Direction,INDEX(CHOOSE(INDEX(MazeDef,$L29,AG$11),Primitives!$C$2:$E$4,Primitives!$C$6:$E$8,Primitives!$C$10:$E$12,Primitives!$C$14:$E$16,Primitives!$C$18:$E$20,Primitives!$C$22:$E$24,Primitives!$C$26:$E$28,Primitives!$C$30:$E$32,Primitives!$C$34:$E$36,Primitives!$C$38:$E$40,Primitives!$C$42:$E$44,Primitives!$C$46:$E$48,Primitives!$C$50:$E$52,Primitives!$C$54:$E$56,Primitives!$C$58:$E$60),$N29,AG$13))</f>
        <v>1</v>
      </c>
      <c r="AH29" s="64">
        <f>IF(AND($K29=Calc.Top, AH$10=Calc.Left),Player.Direction,INDEX(CHOOSE(INDEX(MazeDef,$L29,AH$11),Primitives!$C$2:$E$4,Primitives!$C$6:$E$8,Primitives!$C$10:$E$12,Primitives!$C$14:$E$16,Primitives!$C$18:$E$20,Primitives!$C$22:$E$24,Primitives!$C$26:$E$28,Primitives!$C$30:$E$32,Primitives!$C$34:$E$36,Primitives!$C$38:$E$40,Primitives!$C$42:$E$44,Primitives!$C$46:$E$48,Primitives!$C$50:$E$52,Primitives!$C$54:$E$56,Primitives!$C$58:$E$60),$N29,AH$13))</f>
        <v>1</v>
      </c>
      <c r="AI29" s="64">
        <f>IF(AND($K29=Calc.Top, AI$10=Calc.Left),Player.Direction,INDEX(CHOOSE(INDEX(MazeDef,$L29,AI$11),Primitives!$C$2:$E$4,Primitives!$C$6:$E$8,Primitives!$C$10:$E$12,Primitives!$C$14:$E$16,Primitives!$C$18:$E$20,Primitives!$C$22:$E$24,Primitives!$C$26:$E$28,Primitives!$C$30:$E$32,Primitives!$C$34:$E$36,Primitives!$C$38:$E$40,Primitives!$C$42:$E$44,Primitives!$C$46:$E$48,Primitives!$C$50:$E$52,Primitives!$C$54:$E$56,Primitives!$C$58:$E$60),$N29,AI$13))</f>
        <v>1</v>
      </c>
      <c r="AJ29" s="64">
        <f>IF(AND($K29=Calc.Top, AJ$10=Calc.Left),Player.Direction,INDEX(CHOOSE(INDEX(MazeDef,$L29,AJ$11),Primitives!$C$2:$E$4,Primitives!$C$6:$E$8,Primitives!$C$10:$E$12,Primitives!$C$14:$E$16,Primitives!$C$18:$E$20,Primitives!$C$22:$E$24,Primitives!$C$26:$E$28,Primitives!$C$30:$E$32,Primitives!$C$34:$E$36,Primitives!$C$38:$E$40,Primitives!$C$42:$E$44,Primitives!$C$46:$E$48,Primitives!$C$50:$E$52,Primitives!$C$54:$E$56,Primitives!$C$58:$E$60),$N29,AJ$13))</f>
        <v>1</v>
      </c>
      <c r="AK29" s="64">
        <f>IF(AND($K29=Calc.Top, AK$10=Calc.Left),Player.Direction,INDEX(CHOOSE(INDEX(MazeDef,$L29,AK$11),Primitives!$C$2:$E$4,Primitives!$C$6:$E$8,Primitives!$C$10:$E$12,Primitives!$C$14:$E$16,Primitives!$C$18:$E$20,Primitives!$C$22:$E$24,Primitives!$C$26:$E$28,Primitives!$C$30:$E$32,Primitives!$C$34:$E$36,Primitives!$C$38:$E$40,Primitives!$C$42:$E$44,Primitives!$C$46:$E$48,Primitives!$C$50:$E$52,Primitives!$C$54:$E$56,Primitives!$C$58:$E$60),$N29,AK$13))</f>
        <v>0</v>
      </c>
      <c r="AL29" s="64">
        <f>IF(AND($K29=Calc.Top, AL$10=Calc.Left),Player.Direction,INDEX(CHOOSE(INDEX(MazeDef,$L29,AL$11),Primitives!$C$2:$E$4,Primitives!$C$6:$E$8,Primitives!$C$10:$E$12,Primitives!$C$14:$E$16,Primitives!$C$18:$E$20,Primitives!$C$22:$E$24,Primitives!$C$26:$E$28,Primitives!$C$30:$E$32,Primitives!$C$34:$E$36,Primitives!$C$38:$E$40,Primitives!$C$42:$E$44,Primitives!$C$46:$E$48,Primitives!$C$50:$E$52,Primitives!$C$54:$E$56,Primitives!$C$58:$E$60),$N29,AL$13))</f>
        <v>1</v>
      </c>
      <c r="AM29" s="64">
        <f>IF(AND($K29=Calc.Top, AM$10=Calc.Left),Player.Direction,INDEX(CHOOSE(INDEX(MazeDef,$L29,AM$11),Primitives!$C$2:$E$4,Primitives!$C$6:$E$8,Primitives!$C$10:$E$12,Primitives!$C$14:$E$16,Primitives!$C$18:$E$20,Primitives!$C$22:$E$24,Primitives!$C$26:$E$28,Primitives!$C$30:$E$32,Primitives!$C$34:$E$36,Primitives!$C$38:$E$40,Primitives!$C$42:$E$44,Primitives!$C$46:$E$48,Primitives!$C$50:$E$52,Primitives!$C$54:$E$56,Primitives!$C$58:$E$60),$N29,AM$13))</f>
        <v>1</v>
      </c>
      <c r="AN29" s="64">
        <f>IF(AND($K29=Calc.Top, AN$10=Calc.Left),Player.Direction,INDEX(CHOOSE(INDEX(MazeDef,$L29,AN$11),Primitives!$C$2:$E$4,Primitives!$C$6:$E$8,Primitives!$C$10:$E$12,Primitives!$C$14:$E$16,Primitives!$C$18:$E$20,Primitives!$C$22:$E$24,Primitives!$C$26:$E$28,Primitives!$C$30:$E$32,Primitives!$C$34:$E$36,Primitives!$C$38:$E$40,Primitives!$C$42:$E$44,Primitives!$C$46:$E$48,Primitives!$C$50:$E$52,Primitives!$C$54:$E$56,Primitives!$C$58:$E$60),$N29,AN$13))</f>
        <v>0</v>
      </c>
      <c r="AO29" s="64">
        <f>IF(AND($K29=Calc.Top, AO$10=Calc.Left),Player.Direction,INDEX(CHOOSE(INDEX(MazeDef,$L29,AO$11),Primitives!$C$2:$E$4,Primitives!$C$6:$E$8,Primitives!$C$10:$E$12,Primitives!$C$14:$E$16,Primitives!$C$18:$E$20,Primitives!$C$22:$E$24,Primitives!$C$26:$E$28,Primitives!$C$30:$E$32,Primitives!$C$34:$E$36,Primitives!$C$38:$E$40,Primitives!$C$42:$E$44,Primitives!$C$46:$E$48,Primitives!$C$50:$E$52,Primitives!$C$54:$E$56,Primitives!$C$58:$E$60),$N29,AO$13))</f>
        <v>1</v>
      </c>
      <c r="AP29" s="64">
        <f>IF(AND($K29=Calc.Top, AP$10=Calc.Left),Player.Direction,INDEX(CHOOSE(INDEX(MazeDef,$L29,AP$11),Primitives!$C$2:$E$4,Primitives!$C$6:$E$8,Primitives!$C$10:$E$12,Primitives!$C$14:$E$16,Primitives!$C$18:$E$20,Primitives!$C$22:$E$24,Primitives!$C$26:$E$28,Primitives!$C$30:$E$32,Primitives!$C$34:$E$36,Primitives!$C$38:$E$40,Primitives!$C$42:$E$44,Primitives!$C$46:$E$48,Primitives!$C$50:$E$52,Primitives!$C$54:$E$56,Primitives!$C$58:$E$60),$N29,AP$13))</f>
        <v>1</v>
      </c>
      <c r="AQ29" s="64">
        <f>IF(AND($K29=Calc.Top, AQ$10=Calc.Left),Player.Direction,INDEX(CHOOSE(INDEX(MazeDef,$L29,AQ$11),Primitives!$C$2:$E$4,Primitives!$C$6:$E$8,Primitives!$C$10:$E$12,Primitives!$C$14:$E$16,Primitives!$C$18:$E$20,Primitives!$C$22:$E$24,Primitives!$C$26:$E$28,Primitives!$C$30:$E$32,Primitives!$C$34:$E$36,Primitives!$C$38:$E$40,Primitives!$C$42:$E$44,Primitives!$C$46:$E$48,Primitives!$C$50:$E$52,Primitives!$C$54:$E$56,Primitives!$C$58:$E$60),$N29,AQ$13))</f>
        <v>0</v>
      </c>
      <c r="AR29" s="64">
        <f>IF(AND($K29=Calc.Top, AR$10=Calc.Left),Player.Direction,INDEX(CHOOSE(INDEX(MazeDef,$L29,AR$11),Primitives!$C$2:$E$4,Primitives!$C$6:$E$8,Primitives!$C$10:$E$12,Primitives!$C$14:$E$16,Primitives!$C$18:$E$20,Primitives!$C$22:$E$24,Primitives!$C$26:$E$28,Primitives!$C$30:$E$32,Primitives!$C$34:$E$36,Primitives!$C$38:$E$40,Primitives!$C$42:$E$44,Primitives!$C$46:$E$48,Primitives!$C$50:$E$52,Primitives!$C$54:$E$56,Primitives!$C$58:$E$60),$N29,AR$13))</f>
        <v>1</v>
      </c>
      <c r="AS29" s="2"/>
      <c r="AT29" s="2"/>
      <c r="AU29" s="2"/>
      <c r="AV29" s="2"/>
    </row>
    <row r="30" spans="1:48" ht="9" customHeight="1" x14ac:dyDescent="0.25">
      <c r="A30" s="5"/>
      <c r="B30" s="21">
        <v>1</v>
      </c>
      <c r="C30" s="21">
        <v>1</v>
      </c>
      <c r="D30" s="21">
        <v>1</v>
      </c>
      <c r="E30" s="2"/>
      <c r="F30" s="2"/>
      <c r="G30" s="2"/>
      <c r="H30" s="2"/>
      <c r="I30" s="2"/>
      <c r="J30" s="2"/>
      <c r="K30" s="2">
        <v>17</v>
      </c>
      <c r="L30" s="2">
        <v>6</v>
      </c>
      <c r="M30" s="68"/>
      <c r="N30" s="8">
        <v>2</v>
      </c>
      <c r="O30" s="64">
        <f>IF(AND($K30=Calc.Top, O$10=Calc.Left),Player.Direction,INDEX(CHOOSE(INDEX(MazeDef,$L30,O$11),Primitives!$C$2:$E$4,Primitives!$C$6:$E$8,Primitives!$C$10:$E$12,Primitives!$C$14:$E$16,Primitives!$C$18:$E$20,Primitives!$C$22:$E$24,Primitives!$C$26:$E$28,Primitives!$C$30:$E$32,Primitives!$C$34:$E$36,Primitives!$C$38:$E$40,Primitives!$C$42:$E$44,Primitives!$C$46:$E$48,Primitives!$C$50:$E$52,Primitives!$C$54:$E$56,Primitives!$C$58:$E$60),$N30,O$13))</f>
        <v>1</v>
      </c>
      <c r="P30" s="64">
        <f>IF(AND($K30=Calc.Top, P$10=Calc.Left),Player.Direction,INDEX(CHOOSE(INDEX(MazeDef,$L30,P$11),Primitives!$C$2:$E$4,Primitives!$C$6:$E$8,Primitives!$C$10:$E$12,Primitives!$C$14:$E$16,Primitives!$C$18:$E$20,Primitives!$C$22:$E$24,Primitives!$C$26:$E$28,Primitives!$C$30:$E$32,Primitives!$C$34:$E$36,Primitives!$C$38:$E$40,Primitives!$C$42:$E$44,Primitives!$C$46:$E$48,Primitives!$C$50:$E$52,Primitives!$C$54:$E$56,Primitives!$C$58:$E$60),$N30,P$13))</f>
        <v>0</v>
      </c>
      <c r="Q30" s="64">
        <f>IF(AND($K30=Calc.Top, Q$10=Calc.Left),Player.Direction,INDEX(CHOOSE(INDEX(MazeDef,$L30,Q$11),Primitives!$C$2:$E$4,Primitives!$C$6:$E$8,Primitives!$C$10:$E$12,Primitives!$C$14:$E$16,Primitives!$C$18:$E$20,Primitives!$C$22:$E$24,Primitives!$C$26:$E$28,Primitives!$C$30:$E$32,Primitives!$C$34:$E$36,Primitives!$C$38:$E$40,Primitives!$C$42:$E$44,Primitives!$C$46:$E$48,Primitives!$C$50:$E$52,Primitives!$C$54:$E$56,Primitives!$C$58:$E$60),$N30,Q$13))</f>
        <v>0</v>
      </c>
      <c r="R30" s="64">
        <f>IF(AND($K30=Calc.Top, R$10=Calc.Left),Player.Direction,INDEX(CHOOSE(INDEX(MazeDef,$L30,R$11),Primitives!$C$2:$E$4,Primitives!$C$6:$E$8,Primitives!$C$10:$E$12,Primitives!$C$14:$E$16,Primitives!$C$18:$E$20,Primitives!$C$22:$E$24,Primitives!$C$26:$E$28,Primitives!$C$30:$E$32,Primitives!$C$34:$E$36,Primitives!$C$38:$E$40,Primitives!$C$42:$E$44,Primitives!$C$46:$E$48,Primitives!$C$50:$E$52,Primitives!$C$54:$E$56,Primitives!$C$58:$E$60),$N30,R$13))</f>
        <v>0</v>
      </c>
      <c r="S30" s="64">
        <f>IF(AND($K30=Calc.Top, S$10=Calc.Left),Player.Direction,INDEX(CHOOSE(INDEX(MazeDef,$L30,S$11),Primitives!$C$2:$E$4,Primitives!$C$6:$E$8,Primitives!$C$10:$E$12,Primitives!$C$14:$E$16,Primitives!$C$18:$E$20,Primitives!$C$22:$E$24,Primitives!$C$26:$E$28,Primitives!$C$30:$E$32,Primitives!$C$34:$E$36,Primitives!$C$38:$E$40,Primitives!$C$42:$E$44,Primitives!$C$46:$E$48,Primitives!$C$50:$E$52,Primitives!$C$54:$E$56,Primitives!$C$58:$E$60),$N30,S$13))</f>
        <v>0</v>
      </c>
      <c r="T30" s="64">
        <f>IF(AND($K30=Calc.Top, T$10=Calc.Left),Player.Direction,INDEX(CHOOSE(INDEX(MazeDef,$L30,T$11),Primitives!$C$2:$E$4,Primitives!$C$6:$E$8,Primitives!$C$10:$E$12,Primitives!$C$14:$E$16,Primitives!$C$18:$E$20,Primitives!$C$22:$E$24,Primitives!$C$26:$E$28,Primitives!$C$30:$E$32,Primitives!$C$34:$E$36,Primitives!$C$38:$E$40,Primitives!$C$42:$E$44,Primitives!$C$46:$E$48,Primitives!$C$50:$E$52,Primitives!$C$54:$E$56,Primitives!$C$58:$E$60),$N30,T$13))</f>
        <v>0</v>
      </c>
      <c r="U30" s="64">
        <f>IF(AND($K30=Calc.Top, U$10=Calc.Left),Player.Direction,INDEX(CHOOSE(INDEX(MazeDef,$L30,U$11),Primitives!$C$2:$E$4,Primitives!$C$6:$E$8,Primitives!$C$10:$E$12,Primitives!$C$14:$E$16,Primitives!$C$18:$E$20,Primitives!$C$22:$E$24,Primitives!$C$26:$E$28,Primitives!$C$30:$E$32,Primitives!$C$34:$E$36,Primitives!$C$38:$E$40,Primitives!$C$42:$E$44,Primitives!$C$46:$E$48,Primitives!$C$50:$E$52,Primitives!$C$54:$E$56,Primitives!$C$58:$E$60),$N30,U$13))</f>
        <v>0</v>
      </c>
      <c r="V30" s="64">
        <f>IF(AND($K30=Calc.Top, V$10=Calc.Left),Player.Direction,INDEX(CHOOSE(INDEX(MazeDef,$L30,V$11),Primitives!$C$2:$E$4,Primitives!$C$6:$E$8,Primitives!$C$10:$E$12,Primitives!$C$14:$E$16,Primitives!$C$18:$E$20,Primitives!$C$22:$E$24,Primitives!$C$26:$E$28,Primitives!$C$30:$E$32,Primitives!$C$34:$E$36,Primitives!$C$38:$E$40,Primitives!$C$42:$E$44,Primitives!$C$46:$E$48,Primitives!$C$50:$E$52,Primitives!$C$54:$E$56,Primitives!$C$58:$E$60),$N30,V$13))</f>
        <v>0</v>
      </c>
      <c r="W30" s="64">
        <f>IF(AND($K30=Calc.Top, W$10=Calc.Left),Player.Direction,INDEX(CHOOSE(INDEX(MazeDef,$L30,W$11),Primitives!$C$2:$E$4,Primitives!$C$6:$E$8,Primitives!$C$10:$E$12,Primitives!$C$14:$E$16,Primitives!$C$18:$E$20,Primitives!$C$22:$E$24,Primitives!$C$26:$E$28,Primitives!$C$30:$E$32,Primitives!$C$34:$E$36,Primitives!$C$38:$E$40,Primitives!$C$42:$E$44,Primitives!$C$46:$E$48,Primitives!$C$50:$E$52,Primitives!$C$54:$E$56,Primitives!$C$58:$E$60),$N30,W$13))</f>
        <v>0</v>
      </c>
      <c r="X30" s="64">
        <f>IF(AND($K30=Calc.Top, X$10=Calc.Left),Player.Direction,INDEX(CHOOSE(INDEX(MazeDef,$L30,X$11),Primitives!$C$2:$E$4,Primitives!$C$6:$E$8,Primitives!$C$10:$E$12,Primitives!$C$14:$E$16,Primitives!$C$18:$E$20,Primitives!$C$22:$E$24,Primitives!$C$26:$E$28,Primitives!$C$30:$E$32,Primitives!$C$34:$E$36,Primitives!$C$38:$E$40,Primitives!$C$42:$E$44,Primitives!$C$46:$E$48,Primitives!$C$50:$E$52,Primitives!$C$54:$E$56,Primitives!$C$58:$E$60),$N30,X$13))</f>
        <v>0</v>
      </c>
      <c r="Y30" s="64">
        <f>IF(AND($K30=Calc.Top, Y$10=Calc.Left),Player.Direction,INDEX(CHOOSE(INDEX(MazeDef,$L30,Y$11),Primitives!$C$2:$E$4,Primitives!$C$6:$E$8,Primitives!$C$10:$E$12,Primitives!$C$14:$E$16,Primitives!$C$18:$E$20,Primitives!$C$22:$E$24,Primitives!$C$26:$E$28,Primitives!$C$30:$E$32,Primitives!$C$34:$E$36,Primitives!$C$38:$E$40,Primitives!$C$42:$E$44,Primitives!$C$46:$E$48,Primitives!$C$50:$E$52,Primitives!$C$54:$E$56,Primitives!$C$58:$E$60),$N30,Y$13))</f>
        <v>0</v>
      </c>
      <c r="Z30" s="64">
        <f>IF(AND($K30=Calc.Top, Z$10=Calc.Left),Player.Direction,INDEX(CHOOSE(INDEX(MazeDef,$L30,Z$11),Primitives!$C$2:$E$4,Primitives!$C$6:$E$8,Primitives!$C$10:$E$12,Primitives!$C$14:$E$16,Primitives!$C$18:$E$20,Primitives!$C$22:$E$24,Primitives!$C$26:$E$28,Primitives!$C$30:$E$32,Primitives!$C$34:$E$36,Primitives!$C$38:$E$40,Primitives!$C$42:$E$44,Primitives!$C$46:$E$48,Primitives!$C$50:$E$52,Primitives!$C$54:$E$56,Primitives!$C$58:$E$60),$N30,Z$13))</f>
        <v>0</v>
      </c>
      <c r="AA30" s="64">
        <f>IF(AND($K30=Calc.Top, AA$10=Calc.Left),Player.Direction,INDEX(CHOOSE(INDEX(MazeDef,$L30,AA$11),Primitives!$C$2:$E$4,Primitives!$C$6:$E$8,Primitives!$C$10:$E$12,Primitives!$C$14:$E$16,Primitives!$C$18:$E$20,Primitives!$C$22:$E$24,Primitives!$C$26:$E$28,Primitives!$C$30:$E$32,Primitives!$C$34:$E$36,Primitives!$C$38:$E$40,Primitives!$C$42:$E$44,Primitives!$C$46:$E$48,Primitives!$C$50:$E$52,Primitives!$C$54:$E$56,Primitives!$C$58:$E$60),$N30,AA$13))</f>
        <v>0</v>
      </c>
      <c r="AB30" s="64">
        <f>IF(AND($K30=Calc.Top, AB$10=Calc.Left),Player.Direction,INDEX(CHOOSE(INDEX(MazeDef,$L30,AB$11),Primitives!$C$2:$E$4,Primitives!$C$6:$E$8,Primitives!$C$10:$E$12,Primitives!$C$14:$E$16,Primitives!$C$18:$E$20,Primitives!$C$22:$E$24,Primitives!$C$26:$E$28,Primitives!$C$30:$E$32,Primitives!$C$34:$E$36,Primitives!$C$38:$E$40,Primitives!$C$42:$E$44,Primitives!$C$46:$E$48,Primitives!$C$50:$E$52,Primitives!$C$54:$E$56,Primitives!$C$58:$E$60),$N30,AB$13))</f>
        <v>0</v>
      </c>
      <c r="AC30" s="64">
        <f>IF(AND($K30=Calc.Top, AC$10=Calc.Left),Player.Direction,INDEX(CHOOSE(INDEX(MazeDef,$L30,AC$11),Primitives!$C$2:$E$4,Primitives!$C$6:$E$8,Primitives!$C$10:$E$12,Primitives!$C$14:$E$16,Primitives!$C$18:$E$20,Primitives!$C$22:$E$24,Primitives!$C$26:$E$28,Primitives!$C$30:$E$32,Primitives!$C$34:$E$36,Primitives!$C$38:$E$40,Primitives!$C$42:$E$44,Primitives!$C$46:$E$48,Primitives!$C$50:$E$52,Primitives!$C$54:$E$56,Primitives!$C$58:$E$60),$N30,AC$13))</f>
        <v>0</v>
      </c>
      <c r="AD30" s="64">
        <f>IF(AND($K30=Calc.Top, AD$10=Calc.Left),Player.Direction,INDEX(CHOOSE(INDEX(MazeDef,$L30,AD$11),Primitives!$C$2:$E$4,Primitives!$C$6:$E$8,Primitives!$C$10:$E$12,Primitives!$C$14:$E$16,Primitives!$C$18:$E$20,Primitives!$C$22:$E$24,Primitives!$C$26:$E$28,Primitives!$C$30:$E$32,Primitives!$C$34:$E$36,Primitives!$C$38:$E$40,Primitives!$C$42:$E$44,Primitives!$C$46:$E$48,Primitives!$C$50:$E$52,Primitives!$C$54:$E$56,Primitives!$C$58:$E$60),$N30,AD$13))</f>
        <v>0</v>
      </c>
      <c r="AE30" s="64">
        <f>IF(AND($K30=Calc.Top, AE$10=Calc.Left),Player.Direction,INDEX(CHOOSE(INDEX(MazeDef,$L30,AE$11),Primitives!$C$2:$E$4,Primitives!$C$6:$E$8,Primitives!$C$10:$E$12,Primitives!$C$14:$E$16,Primitives!$C$18:$E$20,Primitives!$C$22:$E$24,Primitives!$C$26:$E$28,Primitives!$C$30:$E$32,Primitives!$C$34:$E$36,Primitives!$C$38:$E$40,Primitives!$C$42:$E$44,Primitives!$C$46:$E$48,Primitives!$C$50:$E$52,Primitives!$C$54:$E$56,Primitives!$C$58:$E$60),$N30,AE$13))</f>
        <v>0</v>
      </c>
      <c r="AF30" s="64">
        <f>IF(AND($K30=Calc.Top, AF$10=Calc.Left),Player.Direction,INDEX(CHOOSE(INDEX(MazeDef,$L30,AF$11),Primitives!$C$2:$E$4,Primitives!$C$6:$E$8,Primitives!$C$10:$E$12,Primitives!$C$14:$E$16,Primitives!$C$18:$E$20,Primitives!$C$22:$E$24,Primitives!$C$26:$E$28,Primitives!$C$30:$E$32,Primitives!$C$34:$E$36,Primitives!$C$38:$E$40,Primitives!$C$42:$E$44,Primitives!$C$46:$E$48,Primitives!$C$50:$E$52,Primitives!$C$54:$E$56,Primitives!$C$58:$E$60),$N30,AF$13))</f>
        <v>0</v>
      </c>
      <c r="AG30" s="64">
        <f>IF(AND($K30=Calc.Top, AG$10=Calc.Left),Player.Direction,INDEX(CHOOSE(INDEX(MazeDef,$L30,AG$11),Primitives!$C$2:$E$4,Primitives!$C$6:$E$8,Primitives!$C$10:$E$12,Primitives!$C$14:$E$16,Primitives!$C$18:$E$20,Primitives!$C$22:$E$24,Primitives!$C$26:$E$28,Primitives!$C$30:$E$32,Primitives!$C$34:$E$36,Primitives!$C$38:$E$40,Primitives!$C$42:$E$44,Primitives!$C$46:$E$48,Primitives!$C$50:$E$52,Primitives!$C$54:$E$56,Primitives!$C$58:$E$60),$N30,AG$13))</f>
        <v>0</v>
      </c>
      <c r="AH30" s="64">
        <f>IF(AND($K30=Calc.Top, AH$10=Calc.Left),Player.Direction,INDEX(CHOOSE(INDEX(MazeDef,$L30,AH$11),Primitives!$C$2:$E$4,Primitives!$C$6:$E$8,Primitives!$C$10:$E$12,Primitives!$C$14:$E$16,Primitives!$C$18:$E$20,Primitives!$C$22:$E$24,Primitives!$C$26:$E$28,Primitives!$C$30:$E$32,Primitives!$C$34:$E$36,Primitives!$C$38:$E$40,Primitives!$C$42:$E$44,Primitives!$C$46:$E$48,Primitives!$C$50:$E$52,Primitives!$C$54:$E$56,Primitives!$C$58:$E$60),$N30,AH$13))</f>
        <v>0</v>
      </c>
      <c r="AI30" s="64">
        <f>IF(AND($K30=Calc.Top, AI$10=Calc.Left),Player.Direction,INDEX(CHOOSE(INDEX(MazeDef,$L30,AI$11),Primitives!$C$2:$E$4,Primitives!$C$6:$E$8,Primitives!$C$10:$E$12,Primitives!$C$14:$E$16,Primitives!$C$18:$E$20,Primitives!$C$22:$E$24,Primitives!$C$26:$E$28,Primitives!$C$30:$E$32,Primitives!$C$34:$E$36,Primitives!$C$38:$E$40,Primitives!$C$42:$E$44,Primitives!$C$46:$E$48,Primitives!$C$50:$E$52,Primitives!$C$54:$E$56,Primitives!$C$58:$E$60),$N30,AI$13))</f>
        <v>0</v>
      </c>
      <c r="AJ30" s="64">
        <f>IF(AND($K30=Calc.Top, AJ$10=Calc.Left),Player.Direction,INDEX(CHOOSE(INDEX(MazeDef,$L30,AJ$11),Primitives!$C$2:$E$4,Primitives!$C$6:$E$8,Primitives!$C$10:$E$12,Primitives!$C$14:$E$16,Primitives!$C$18:$E$20,Primitives!$C$22:$E$24,Primitives!$C$26:$E$28,Primitives!$C$30:$E$32,Primitives!$C$34:$E$36,Primitives!$C$38:$E$40,Primitives!$C$42:$E$44,Primitives!$C$46:$E$48,Primitives!$C$50:$E$52,Primitives!$C$54:$E$56,Primitives!$C$58:$E$60),$N30,AJ$13))</f>
        <v>0</v>
      </c>
      <c r="AK30" s="64">
        <f>IF(AND($K30=Calc.Top, AK$10=Calc.Left),Player.Direction,INDEX(CHOOSE(INDEX(MazeDef,$L30,AK$11),Primitives!$C$2:$E$4,Primitives!$C$6:$E$8,Primitives!$C$10:$E$12,Primitives!$C$14:$E$16,Primitives!$C$18:$E$20,Primitives!$C$22:$E$24,Primitives!$C$26:$E$28,Primitives!$C$30:$E$32,Primitives!$C$34:$E$36,Primitives!$C$38:$E$40,Primitives!$C$42:$E$44,Primitives!$C$46:$E$48,Primitives!$C$50:$E$52,Primitives!$C$54:$E$56,Primitives!$C$58:$E$60),$N30,AK$13))</f>
        <v>0</v>
      </c>
      <c r="AL30" s="64">
        <f>IF(AND($K30=Calc.Top, AL$10=Calc.Left),Player.Direction,INDEX(CHOOSE(INDEX(MazeDef,$L30,AL$11),Primitives!$C$2:$E$4,Primitives!$C$6:$E$8,Primitives!$C$10:$E$12,Primitives!$C$14:$E$16,Primitives!$C$18:$E$20,Primitives!$C$22:$E$24,Primitives!$C$26:$E$28,Primitives!$C$30:$E$32,Primitives!$C$34:$E$36,Primitives!$C$38:$E$40,Primitives!$C$42:$E$44,Primitives!$C$46:$E$48,Primitives!$C$50:$E$52,Primitives!$C$54:$E$56,Primitives!$C$58:$E$60),$N30,AL$13))</f>
        <v>0</v>
      </c>
      <c r="AM30" s="64">
        <f>IF(AND($K30=Calc.Top, AM$10=Calc.Left),Player.Direction,INDEX(CHOOSE(INDEX(MazeDef,$L30,AM$11),Primitives!$C$2:$E$4,Primitives!$C$6:$E$8,Primitives!$C$10:$E$12,Primitives!$C$14:$E$16,Primitives!$C$18:$E$20,Primitives!$C$22:$E$24,Primitives!$C$26:$E$28,Primitives!$C$30:$E$32,Primitives!$C$34:$E$36,Primitives!$C$38:$E$40,Primitives!$C$42:$E$44,Primitives!$C$46:$E$48,Primitives!$C$50:$E$52,Primitives!$C$54:$E$56,Primitives!$C$58:$E$60),$N30,AM$13))</f>
        <v>0</v>
      </c>
      <c r="AN30" s="64">
        <f>IF(AND($K30=Calc.Top, AN$10=Calc.Left),Player.Direction,INDEX(CHOOSE(INDEX(MazeDef,$L30,AN$11),Primitives!$C$2:$E$4,Primitives!$C$6:$E$8,Primitives!$C$10:$E$12,Primitives!$C$14:$E$16,Primitives!$C$18:$E$20,Primitives!$C$22:$E$24,Primitives!$C$26:$E$28,Primitives!$C$30:$E$32,Primitives!$C$34:$E$36,Primitives!$C$38:$E$40,Primitives!$C$42:$E$44,Primitives!$C$46:$E$48,Primitives!$C$50:$E$52,Primitives!$C$54:$E$56,Primitives!$C$58:$E$60),$N30,AN$13))</f>
        <v>0</v>
      </c>
      <c r="AO30" s="64">
        <f>IF(AND($K30=Calc.Top, AO$10=Calc.Left),Player.Direction,INDEX(CHOOSE(INDEX(MazeDef,$L30,AO$11),Primitives!$C$2:$E$4,Primitives!$C$6:$E$8,Primitives!$C$10:$E$12,Primitives!$C$14:$E$16,Primitives!$C$18:$E$20,Primitives!$C$22:$E$24,Primitives!$C$26:$E$28,Primitives!$C$30:$E$32,Primitives!$C$34:$E$36,Primitives!$C$38:$E$40,Primitives!$C$42:$E$44,Primitives!$C$46:$E$48,Primitives!$C$50:$E$52,Primitives!$C$54:$E$56,Primitives!$C$58:$E$60),$N30,AO$13))</f>
        <v>0</v>
      </c>
      <c r="AP30" s="64">
        <f>IF(AND($K30=Calc.Top, AP$10=Calc.Left),Player.Direction,INDEX(CHOOSE(INDEX(MazeDef,$L30,AP$11),Primitives!$C$2:$E$4,Primitives!$C$6:$E$8,Primitives!$C$10:$E$12,Primitives!$C$14:$E$16,Primitives!$C$18:$E$20,Primitives!$C$22:$E$24,Primitives!$C$26:$E$28,Primitives!$C$30:$E$32,Primitives!$C$34:$E$36,Primitives!$C$38:$E$40,Primitives!$C$42:$E$44,Primitives!$C$46:$E$48,Primitives!$C$50:$E$52,Primitives!$C$54:$E$56,Primitives!$C$58:$E$60),$N30,AP$13))</f>
        <v>0</v>
      </c>
      <c r="AQ30" s="64">
        <f>IF(AND($K30=Calc.Top, AQ$10=Calc.Left),Player.Direction,INDEX(CHOOSE(INDEX(MazeDef,$L30,AQ$11),Primitives!$C$2:$E$4,Primitives!$C$6:$E$8,Primitives!$C$10:$E$12,Primitives!$C$14:$E$16,Primitives!$C$18:$E$20,Primitives!$C$22:$E$24,Primitives!$C$26:$E$28,Primitives!$C$30:$E$32,Primitives!$C$34:$E$36,Primitives!$C$38:$E$40,Primitives!$C$42:$E$44,Primitives!$C$46:$E$48,Primitives!$C$50:$E$52,Primitives!$C$54:$E$56,Primitives!$C$58:$E$60),$N30,AQ$13))</f>
        <v>0</v>
      </c>
      <c r="AR30" s="64">
        <f>IF(AND($K30=Calc.Top, AR$10=Calc.Left),Player.Direction,INDEX(CHOOSE(INDEX(MazeDef,$L30,AR$11),Primitives!$C$2:$E$4,Primitives!$C$6:$E$8,Primitives!$C$10:$E$12,Primitives!$C$14:$E$16,Primitives!$C$18:$E$20,Primitives!$C$22:$E$24,Primitives!$C$26:$E$28,Primitives!$C$30:$E$32,Primitives!$C$34:$E$36,Primitives!$C$38:$E$40,Primitives!$C$42:$E$44,Primitives!$C$46:$E$48,Primitives!$C$50:$E$52,Primitives!$C$54:$E$56,Primitives!$C$58:$E$60),$N30,AR$13))</f>
        <v>1</v>
      </c>
      <c r="AS30" s="2"/>
      <c r="AT30" s="2"/>
      <c r="AU30" s="2"/>
      <c r="AV30" s="2"/>
    </row>
    <row r="31" spans="1:48" ht="9" customHeight="1" x14ac:dyDescent="0.25">
      <c r="A31" s="5">
        <v>5</v>
      </c>
      <c r="B31" s="21"/>
      <c r="C31" s="21"/>
      <c r="D31" s="21"/>
      <c r="E31" s="2"/>
      <c r="F31" s="2"/>
      <c r="G31" s="2"/>
      <c r="H31" s="2"/>
      <c r="I31" s="2"/>
      <c r="J31" s="2"/>
      <c r="K31" s="2">
        <v>18</v>
      </c>
      <c r="L31" s="2">
        <v>6</v>
      </c>
      <c r="M31" s="69"/>
      <c r="N31" s="9">
        <v>3</v>
      </c>
      <c r="O31" s="64">
        <f>IF(AND($K31=Calc.Top, O$10=Calc.Left),Player.Direction,INDEX(CHOOSE(INDEX(MazeDef,$L31,O$11),Primitives!$C$2:$E$4,Primitives!$C$6:$E$8,Primitives!$C$10:$E$12,Primitives!$C$14:$E$16,Primitives!$C$18:$E$20,Primitives!$C$22:$E$24,Primitives!$C$26:$E$28,Primitives!$C$30:$E$32,Primitives!$C$34:$E$36,Primitives!$C$38:$E$40,Primitives!$C$42:$E$44,Primitives!$C$46:$E$48,Primitives!$C$50:$E$52,Primitives!$C$54:$E$56,Primitives!$C$58:$E$60),$N31,O$13))</f>
        <v>1</v>
      </c>
      <c r="P31" s="64">
        <f>IF(AND($K31=Calc.Top, P$10=Calc.Left),Player.Direction,INDEX(CHOOSE(INDEX(MazeDef,$L31,P$11),Primitives!$C$2:$E$4,Primitives!$C$6:$E$8,Primitives!$C$10:$E$12,Primitives!$C$14:$E$16,Primitives!$C$18:$E$20,Primitives!$C$22:$E$24,Primitives!$C$26:$E$28,Primitives!$C$30:$E$32,Primitives!$C$34:$E$36,Primitives!$C$38:$E$40,Primitives!$C$42:$E$44,Primitives!$C$46:$E$48,Primitives!$C$50:$E$52,Primitives!$C$54:$E$56,Primitives!$C$58:$E$60),$N31,P$13))</f>
        <v>0</v>
      </c>
      <c r="Q31" s="64">
        <f>IF(AND($K31=Calc.Top, Q$10=Calc.Left),Player.Direction,INDEX(CHOOSE(INDEX(MazeDef,$L31,Q$11),Primitives!$C$2:$E$4,Primitives!$C$6:$E$8,Primitives!$C$10:$E$12,Primitives!$C$14:$E$16,Primitives!$C$18:$E$20,Primitives!$C$22:$E$24,Primitives!$C$26:$E$28,Primitives!$C$30:$E$32,Primitives!$C$34:$E$36,Primitives!$C$38:$E$40,Primitives!$C$42:$E$44,Primitives!$C$46:$E$48,Primitives!$C$50:$E$52,Primitives!$C$54:$E$56,Primitives!$C$58:$E$60),$N31,Q$13))</f>
        <v>1</v>
      </c>
      <c r="R31" s="64">
        <f>IF(AND($K31=Calc.Top, R$10=Calc.Left),Player.Direction,INDEX(CHOOSE(INDEX(MazeDef,$L31,R$11),Primitives!$C$2:$E$4,Primitives!$C$6:$E$8,Primitives!$C$10:$E$12,Primitives!$C$14:$E$16,Primitives!$C$18:$E$20,Primitives!$C$22:$E$24,Primitives!$C$26:$E$28,Primitives!$C$30:$E$32,Primitives!$C$34:$E$36,Primitives!$C$38:$E$40,Primitives!$C$42:$E$44,Primitives!$C$46:$E$48,Primitives!$C$50:$E$52,Primitives!$C$54:$E$56,Primitives!$C$58:$E$60),$N31,R$13))</f>
        <v>1</v>
      </c>
      <c r="S31" s="64">
        <f>IF(AND($K31=Calc.Top, S$10=Calc.Left),Player.Direction,INDEX(CHOOSE(INDEX(MazeDef,$L31,S$11),Primitives!$C$2:$E$4,Primitives!$C$6:$E$8,Primitives!$C$10:$E$12,Primitives!$C$14:$E$16,Primitives!$C$18:$E$20,Primitives!$C$22:$E$24,Primitives!$C$26:$E$28,Primitives!$C$30:$E$32,Primitives!$C$34:$E$36,Primitives!$C$38:$E$40,Primitives!$C$42:$E$44,Primitives!$C$46:$E$48,Primitives!$C$50:$E$52,Primitives!$C$54:$E$56,Primitives!$C$58:$E$60),$N31,S$13))</f>
        <v>1</v>
      </c>
      <c r="T31" s="64">
        <f>IF(AND($K31=Calc.Top, T$10=Calc.Left),Player.Direction,INDEX(CHOOSE(INDEX(MazeDef,$L31,T$11),Primitives!$C$2:$E$4,Primitives!$C$6:$E$8,Primitives!$C$10:$E$12,Primitives!$C$14:$E$16,Primitives!$C$18:$E$20,Primitives!$C$22:$E$24,Primitives!$C$26:$E$28,Primitives!$C$30:$E$32,Primitives!$C$34:$E$36,Primitives!$C$38:$E$40,Primitives!$C$42:$E$44,Primitives!$C$46:$E$48,Primitives!$C$50:$E$52,Primitives!$C$54:$E$56,Primitives!$C$58:$E$60),$N31,T$13))</f>
        <v>1</v>
      </c>
      <c r="U31" s="64">
        <f>IF(AND($K31=Calc.Top, U$10=Calc.Left),Player.Direction,INDEX(CHOOSE(INDEX(MazeDef,$L31,U$11),Primitives!$C$2:$E$4,Primitives!$C$6:$E$8,Primitives!$C$10:$E$12,Primitives!$C$14:$E$16,Primitives!$C$18:$E$20,Primitives!$C$22:$E$24,Primitives!$C$26:$E$28,Primitives!$C$30:$E$32,Primitives!$C$34:$E$36,Primitives!$C$38:$E$40,Primitives!$C$42:$E$44,Primitives!$C$46:$E$48,Primitives!$C$50:$E$52,Primitives!$C$54:$E$56,Primitives!$C$58:$E$60),$N31,U$13))</f>
        <v>1</v>
      </c>
      <c r="V31" s="64">
        <f>IF(AND($K31=Calc.Top, V$10=Calc.Left),Player.Direction,INDEX(CHOOSE(INDEX(MazeDef,$L31,V$11),Primitives!$C$2:$E$4,Primitives!$C$6:$E$8,Primitives!$C$10:$E$12,Primitives!$C$14:$E$16,Primitives!$C$18:$E$20,Primitives!$C$22:$E$24,Primitives!$C$26:$E$28,Primitives!$C$30:$E$32,Primitives!$C$34:$E$36,Primitives!$C$38:$E$40,Primitives!$C$42:$E$44,Primitives!$C$46:$E$48,Primitives!$C$50:$E$52,Primitives!$C$54:$E$56,Primitives!$C$58:$E$60),$N31,V$13))</f>
        <v>1</v>
      </c>
      <c r="W31" s="64">
        <f>IF(AND($K31=Calc.Top, W$10=Calc.Left),Player.Direction,INDEX(CHOOSE(INDEX(MazeDef,$L31,W$11),Primitives!$C$2:$E$4,Primitives!$C$6:$E$8,Primitives!$C$10:$E$12,Primitives!$C$14:$E$16,Primitives!$C$18:$E$20,Primitives!$C$22:$E$24,Primitives!$C$26:$E$28,Primitives!$C$30:$E$32,Primitives!$C$34:$E$36,Primitives!$C$38:$E$40,Primitives!$C$42:$E$44,Primitives!$C$46:$E$48,Primitives!$C$50:$E$52,Primitives!$C$54:$E$56,Primitives!$C$58:$E$60),$N31,W$13))</f>
        <v>1</v>
      </c>
      <c r="X31" s="64">
        <f>IF(AND($K31=Calc.Top, X$10=Calc.Left),Player.Direction,INDEX(CHOOSE(INDEX(MazeDef,$L31,X$11),Primitives!$C$2:$E$4,Primitives!$C$6:$E$8,Primitives!$C$10:$E$12,Primitives!$C$14:$E$16,Primitives!$C$18:$E$20,Primitives!$C$22:$E$24,Primitives!$C$26:$E$28,Primitives!$C$30:$E$32,Primitives!$C$34:$E$36,Primitives!$C$38:$E$40,Primitives!$C$42:$E$44,Primitives!$C$46:$E$48,Primitives!$C$50:$E$52,Primitives!$C$54:$E$56,Primitives!$C$58:$E$60),$N31,X$13))</f>
        <v>1</v>
      </c>
      <c r="Y31" s="64">
        <f>IF(AND($K31=Calc.Top, Y$10=Calc.Left),Player.Direction,INDEX(CHOOSE(INDEX(MazeDef,$L31,Y$11),Primitives!$C$2:$E$4,Primitives!$C$6:$E$8,Primitives!$C$10:$E$12,Primitives!$C$14:$E$16,Primitives!$C$18:$E$20,Primitives!$C$22:$E$24,Primitives!$C$26:$E$28,Primitives!$C$30:$E$32,Primitives!$C$34:$E$36,Primitives!$C$38:$E$40,Primitives!$C$42:$E$44,Primitives!$C$46:$E$48,Primitives!$C$50:$E$52,Primitives!$C$54:$E$56,Primitives!$C$58:$E$60),$N31,Y$13))</f>
        <v>0</v>
      </c>
      <c r="Z31" s="64">
        <f>IF(AND($K31=Calc.Top, Z$10=Calc.Left),Player.Direction,INDEX(CHOOSE(INDEX(MazeDef,$L31,Z$11),Primitives!$C$2:$E$4,Primitives!$C$6:$E$8,Primitives!$C$10:$E$12,Primitives!$C$14:$E$16,Primitives!$C$18:$E$20,Primitives!$C$22:$E$24,Primitives!$C$26:$E$28,Primitives!$C$30:$E$32,Primitives!$C$34:$E$36,Primitives!$C$38:$E$40,Primitives!$C$42:$E$44,Primitives!$C$46:$E$48,Primitives!$C$50:$E$52,Primitives!$C$54:$E$56,Primitives!$C$58:$E$60),$N31,Z$13))</f>
        <v>1</v>
      </c>
      <c r="AA31" s="64">
        <f>IF(AND($K31=Calc.Top, AA$10=Calc.Left),Player.Direction,INDEX(CHOOSE(INDEX(MazeDef,$L31,AA$11),Primitives!$C$2:$E$4,Primitives!$C$6:$E$8,Primitives!$C$10:$E$12,Primitives!$C$14:$E$16,Primitives!$C$18:$E$20,Primitives!$C$22:$E$24,Primitives!$C$26:$E$28,Primitives!$C$30:$E$32,Primitives!$C$34:$E$36,Primitives!$C$38:$E$40,Primitives!$C$42:$E$44,Primitives!$C$46:$E$48,Primitives!$C$50:$E$52,Primitives!$C$54:$E$56,Primitives!$C$58:$E$60),$N31,AA$13))</f>
        <v>1</v>
      </c>
      <c r="AB31" s="64">
        <f>IF(AND($K31=Calc.Top, AB$10=Calc.Left),Player.Direction,INDEX(CHOOSE(INDEX(MazeDef,$L31,AB$11),Primitives!$C$2:$E$4,Primitives!$C$6:$E$8,Primitives!$C$10:$E$12,Primitives!$C$14:$E$16,Primitives!$C$18:$E$20,Primitives!$C$22:$E$24,Primitives!$C$26:$E$28,Primitives!$C$30:$E$32,Primitives!$C$34:$E$36,Primitives!$C$38:$E$40,Primitives!$C$42:$E$44,Primitives!$C$46:$E$48,Primitives!$C$50:$E$52,Primitives!$C$54:$E$56,Primitives!$C$58:$E$60),$N31,AB$13))</f>
        <v>0</v>
      </c>
      <c r="AC31" s="64">
        <f>IF(AND($K31=Calc.Top, AC$10=Calc.Left),Player.Direction,INDEX(CHOOSE(INDEX(MazeDef,$L31,AC$11),Primitives!$C$2:$E$4,Primitives!$C$6:$E$8,Primitives!$C$10:$E$12,Primitives!$C$14:$E$16,Primitives!$C$18:$E$20,Primitives!$C$22:$E$24,Primitives!$C$26:$E$28,Primitives!$C$30:$E$32,Primitives!$C$34:$E$36,Primitives!$C$38:$E$40,Primitives!$C$42:$E$44,Primitives!$C$46:$E$48,Primitives!$C$50:$E$52,Primitives!$C$54:$E$56,Primitives!$C$58:$E$60),$N31,AC$13))</f>
        <v>1</v>
      </c>
      <c r="AD31" s="64">
        <f>IF(AND($K31=Calc.Top, AD$10=Calc.Left),Player.Direction,INDEX(CHOOSE(INDEX(MazeDef,$L31,AD$11),Primitives!$C$2:$E$4,Primitives!$C$6:$E$8,Primitives!$C$10:$E$12,Primitives!$C$14:$E$16,Primitives!$C$18:$E$20,Primitives!$C$22:$E$24,Primitives!$C$26:$E$28,Primitives!$C$30:$E$32,Primitives!$C$34:$E$36,Primitives!$C$38:$E$40,Primitives!$C$42:$E$44,Primitives!$C$46:$E$48,Primitives!$C$50:$E$52,Primitives!$C$54:$E$56,Primitives!$C$58:$E$60),$N31,AD$13))</f>
        <v>1</v>
      </c>
      <c r="AE31" s="64">
        <f>IF(AND($K31=Calc.Top, AE$10=Calc.Left),Player.Direction,INDEX(CHOOSE(INDEX(MazeDef,$L31,AE$11),Primitives!$C$2:$E$4,Primitives!$C$6:$E$8,Primitives!$C$10:$E$12,Primitives!$C$14:$E$16,Primitives!$C$18:$E$20,Primitives!$C$22:$E$24,Primitives!$C$26:$E$28,Primitives!$C$30:$E$32,Primitives!$C$34:$E$36,Primitives!$C$38:$E$40,Primitives!$C$42:$E$44,Primitives!$C$46:$E$48,Primitives!$C$50:$E$52,Primitives!$C$54:$E$56,Primitives!$C$58:$E$60),$N31,AE$13))</f>
        <v>1</v>
      </c>
      <c r="AF31" s="64">
        <f>IF(AND($K31=Calc.Top, AF$10=Calc.Left),Player.Direction,INDEX(CHOOSE(INDEX(MazeDef,$L31,AF$11),Primitives!$C$2:$E$4,Primitives!$C$6:$E$8,Primitives!$C$10:$E$12,Primitives!$C$14:$E$16,Primitives!$C$18:$E$20,Primitives!$C$22:$E$24,Primitives!$C$26:$E$28,Primitives!$C$30:$E$32,Primitives!$C$34:$E$36,Primitives!$C$38:$E$40,Primitives!$C$42:$E$44,Primitives!$C$46:$E$48,Primitives!$C$50:$E$52,Primitives!$C$54:$E$56,Primitives!$C$58:$E$60),$N31,AF$13))</f>
        <v>1</v>
      </c>
      <c r="AG31" s="64">
        <f>IF(AND($K31=Calc.Top, AG$10=Calc.Left),Player.Direction,INDEX(CHOOSE(INDEX(MazeDef,$L31,AG$11),Primitives!$C$2:$E$4,Primitives!$C$6:$E$8,Primitives!$C$10:$E$12,Primitives!$C$14:$E$16,Primitives!$C$18:$E$20,Primitives!$C$22:$E$24,Primitives!$C$26:$E$28,Primitives!$C$30:$E$32,Primitives!$C$34:$E$36,Primitives!$C$38:$E$40,Primitives!$C$42:$E$44,Primitives!$C$46:$E$48,Primitives!$C$50:$E$52,Primitives!$C$54:$E$56,Primitives!$C$58:$E$60),$N31,AG$13))</f>
        <v>1</v>
      </c>
      <c r="AH31" s="64">
        <f>IF(AND($K31=Calc.Top, AH$10=Calc.Left),Player.Direction,INDEX(CHOOSE(INDEX(MazeDef,$L31,AH$11),Primitives!$C$2:$E$4,Primitives!$C$6:$E$8,Primitives!$C$10:$E$12,Primitives!$C$14:$E$16,Primitives!$C$18:$E$20,Primitives!$C$22:$E$24,Primitives!$C$26:$E$28,Primitives!$C$30:$E$32,Primitives!$C$34:$E$36,Primitives!$C$38:$E$40,Primitives!$C$42:$E$44,Primitives!$C$46:$E$48,Primitives!$C$50:$E$52,Primitives!$C$54:$E$56,Primitives!$C$58:$E$60),$N31,AH$13))</f>
        <v>1</v>
      </c>
      <c r="AI31" s="64">
        <f>IF(AND($K31=Calc.Top, AI$10=Calc.Left),Player.Direction,INDEX(CHOOSE(INDEX(MazeDef,$L31,AI$11),Primitives!$C$2:$E$4,Primitives!$C$6:$E$8,Primitives!$C$10:$E$12,Primitives!$C$14:$E$16,Primitives!$C$18:$E$20,Primitives!$C$22:$E$24,Primitives!$C$26:$E$28,Primitives!$C$30:$E$32,Primitives!$C$34:$E$36,Primitives!$C$38:$E$40,Primitives!$C$42:$E$44,Primitives!$C$46:$E$48,Primitives!$C$50:$E$52,Primitives!$C$54:$E$56,Primitives!$C$58:$E$60),$N31,AI$13))</f>
        <v>1</v>
      </c>
      <c r="AJ31" s="64">
        <f>IF(AND($K31=Calc.Top, AJ$10=Calc.Left),Player.Direction,INDEX(CHOOSE(INDEX(MazeDef,$L31,AJ$11),Primitives!$C$2:$E$4,Primitives!$C$6:$E$8,Primitives!$C$10:$E$12,Primitives!$C$14:$E$16,Primitives!$C$18:$E$20,Primitives!$C$22:$E$24,Primitives!$C$26:$E$28,Primitives!$C$30:$E$32,Primitives!$C$34:$E$36,Primitives!$C$38:$E$40,Primitives!$C$42:$E$44,Primitives!$C$46:$E$48,Primitives!$C$50:$E$52,Primitives!$C$54:$E$56,Primitives!$C$58:$E$60),$N31,AJ$13))</f>
        <v>1</v>
      </c>
      <c r="AK31" s="64">
        <f>IF(AND($K31=Calc.Top, AK$10=Calc.Left),Player.Direction,INDEX(CHOOSE(INDEX(MazeDef,$L31,AK$11),Primitives!$C$2:$E$4,Primitives!$C$6:$E$8,Primitives!$C$10:$E$12,Primitives!$C$14:$E$16,Primitives!$C$18:$E$20,Primitives!$C$22:$E$24,Primitives!$C$26:$E$28,Primitives!$C$30:$E$32,Primitives!$C$34:$E$36,Primitives!$C$38:$E$40,Primitives!$C$42:$E$44,Primitives!$C$46:$E$48,Primitives!$C$50:$E$52,Primitives!$C$54:$E$56,Primitives!$C$58:$E$60),$N31,AK$13))</f>
        <v>0</v>
      </c>
      <c r="AL31" s="64">
        <f>IF(AND($K31=Calc.Top, AL$10=Calc.Left),Player.Direction,INDEX(CHOOSE(INDEX(MazeDef,$L31,AL$11),Primitives!$C$2:$E$4,Primitives!$C$6:$E$8,Primitives!$C$10:$E$12,Primitives!$C$14:$E$16,Primitives!$C$18:$E$20,Primitives!$C$22:$E$24,Primitives!$C$26:$E$28,Primitives!$C$30:$E$32,Primitives!$C$34:$E$36,Primitives!$C$38:$E$40,Primitives!$C$42:$E$44,Primitives!$C$46:$E$48,Primitives!$C$50:$E$52,Primitives!$C$54:$E$56,Primitives!$C$58:$E$60),$N31,AL$13))</f>
        <v>1</v>
      </c>
      <c r="AM31" s="64">
        <f>IF(AND($K31=Calc.Top, AM$10=Calc.Left),Player.Direction,INDEX(CHOOSE(INDEX(MazeDef,$L31,AM$11),Primitives!$C$2:$E$4,Primitives!$C$6:$E$8,Primitives!$C$10:$E$12,Primitives!$C$14:$E$16,Primitives!$C$18:$E$20,Primitives!$C$22:$E$24,Primitives!$C$26:$E$28,Primitives!$C$30:$E$32,Primitives!$C$34:$E$36,Primitives!$C$38:$E$40,Primitives!$C$42:$E$44,Primitives!$C$46:$E$48,Primitives!$C$50:$E$52,Primitives!$C$54:$E$56,Primitives!$C$58:$E$60),$N31,AM$13))</f>
        <v>1</v>
      </c>
      <c r="AN31" s="64">
        <f>IF(AND($K31=Calc.Top, AN$10=Calc.Left),Player.Direction,INDEX(CHOOSE(INDEX(MazeDef,$L31,AN$11),Primitives!$C$2:$E$4,Primitives!$C$6:$E$8,Primitives!$C$10:$E$12,Primitives!$C$14:$E$16,Primitives!$C$18:$E$20,Primitives!$C$22:$E$24,Primitives!$C$26:$E$28,Primitives!$C$30:$E$32,Primitives!$C$34:$E$36,Primitives!$C$38:$E$40,Primitives!$C$42:$E$44,Primitives!$C$46:$E$48,Primitives!$C$50:$E$52,Primitives!$C$54:$E$56,Primitives!$C$58:$E$60),$N31,AN$13))</f>
        <v>1</v>
      </c>
      <c r="AO31" s="64">
        <f>IF(AND($K31=Calc.Top, AO$10=Calc.Left),Player.Direction,INDEX(CHOOSE(INDEX(MazeDef,$L31,AO$11),Primitives!$C$2:$E$4,Primitives!$C$6:$E$8,Primitives!$C$10:$E$12,Primitives!$C$14:$E$16,Primitives!$C$18:$E$20,Primitives!$C$22:$E$24,Primitives!$C$26:$E$28,Primitives!$C$30:$E$32,Primitives!$C$34:$E$36,Primitives!$C$38:$E$40,Primitives!$C$42:$E$44,Primitives!$C$46:$E$48,Primitives!$C$50:$E$52,Primitives!$C$54:$E$56,Primitives!$C$58:$E$60),$N31,AO$13))</f>
        <v>1</v>
      </c>
      <c r="AP31" s="64">
        <f>IF(AND($K31=Calc.Top, AP$10=Calc.Left),Player.Direction,INDEX(CHOOSE(INDEX(MazeDef,$L31,AP$11),Primitives!$C$2:$E$4,Primitives!$C$6:$E$8,Primitives!$C$10:$E$12,Primitives!$C$14:$E$16,Primitives!$C$18:$E$20,Primitives!$C$22:$E$24,Primitives!$C$26:$E$28,Primitives!$C$30:$E$32,Primitives!$C$34:$E$36,Primitives!$C$38:$E$40,Primitives!$C$42:$E$44,Primitives!$C$46:$E$48,Primitives!$C$50:$E$52,Primitives!$C$54:$E$56,Primitives!$C$58:$E$60),$N31,AP$13))</f>
        <v>1</v>
      </c>
      <c r="AQ31" s="64">
        <f>IF(AND($K31=Calc.Top, AQ$10=Calc.Left),Player.Direction,INDEX(CHOOSE(INDEX(MazeDef,$L31,AQ$11),Primitives!$C$2:$E$4,Primitives!$C$6:$E$8,Primitives!$C$10:$E$12,Primitives!$C$14:$E$16,Primitives!$C$18:$E$20,Primitives!$C$22:$E$24,Primitives!$C$26:$E$28,Primitives!$C$30:$E$32,Primitives!$C$34:$E$36,Primitives!$C$38:$E$40,Primitives!$C$42:$E$44,Primitives!$C$46:$E$48,Primitives!$C$50:$E$52,Primitives!$C$54:$E$56,Primitives!$C$58:$E$60),$N31,AQ$13))</f>
        <v>1</v>
      </c>
      <c r="AR31" s="64">
        <f>IF(AND($K31=Calc.Top, AR$10=Calc.Left),Player.Direction,INDEX(CHOOSE(INDEX(MazeDef,$L31,AR$11),Primitives!$C$2:$E$4,Primitives!$C$6:$E$8,Primitives!$C$10:$E$12,Primitives!$C$14:$E$16,Primitives!$C$18:$E$20,Primitives!$C$22:$E$24,Primitives!$C$26:$E$28,Primitives!$C$30:$E$32,Primitives!$C$34:$E$36,Primitives!$C$38:$E$40,Primitives!$C$42:$E$44,Primitives!$C$46:$E$48,Primitives!$C$50:$E$52,Primitives!$C$54:$E$56,Primitives!$C$58:$E$60),$N31,AR$13))</f>
        <v>1</v>
      </c>
      <c r="AS31" s="2"/>
      <c r="AT31" s="2"/>
      <c r="AU31" s="2"/>
      <c r="AV31" s="2"/>
    </row>
    <row r="32" spans="1:48" ht="9" customHeight="1" x14ac:dyDescent="0.25">
      <c r="A32" s="5"/>
      <c r="B32" s="21">
        <v>1</v>
      </c>
      <c r="C32" s="21">
        <v>1</v>
      </c>
      <c r="D32" s="21">
        <v>1</v>
      </c>
      <c r="E32" s="2"/>
      <c r="F32" s="2"/>
      <c r="G32" s="2"/>
      <c r="H32" s="2"/>
      <c r="I32" s="2"/>
      <c r="J32" s="2"/>
      <c r="K32" s="2">
        <v>19</v>
      </c>
      <c r="L32" s="2">
        <v>7</v>
      </c>
      <c r="M32" s="67">
        <v>7</v>
      </c>
      <c r="N32" s="7">
        <v>1</v>
      </c>
      <c r="O32" s="64">
        <f>IF(AND($K32=Calc.Top, O$10=Calc.Left),Player.Direction,INDEX(CHOOSE(INDEX(MazeDef,$L32,O$11),Primitives!$C$2:$E$4,Primitives!$C$6:$E$8,Primitives!$C$10:$E$12,Primitives!$C$14:$E$16,Primitives!$C$18:$E$20,Primitives!$C$22:$E$24,Primitives!$C$26:$E$28,Primitives!$C$30:$E$32,Primitives!$C$34:$E$36,Primitives!$C$38:$E$40,Primitives!$C$42:$E$44,Primitives!$C$46:$E$48,Primitives!$C$50:$E$52,Primitives!$C$54:$E$56,Primitives!$C$58:$E$60),$N32,O$13))</f>
        <v>1</v>
      </c>
      <c r="P32" s="64">
        <f>IF(AND($K32=Calc.Top, P$10=Calc.Left),Player.Direction,INDEX(CHOOSE(INDEX(MazeDef,$L32,P$11),Primitives!$C$2:$E$4,Primitives!$C$6:$E$8,Primitives!$C$10:$E$12,Primitives!$C$14:$E$16,Primitives!$C$18:$E$20,Primitives!$C$22:$E$24,Primitives!$C$26:$E$28,Primitives!$C$30:$E$32,Primitives!$C$34:$E$36,Primitives!$C$38:$E$40,Primitives!$C$42:$E$44,Primitives!$C$46:$E$48,Primitives!$C$50:$E$52,Primitives!$C$54:$E$56,Primitives!$C$58:$E$60),$N32,P$13))</f>
        <v>0</v>
      </c>
      <c r="Q32" s="64">
        <f>IF(AND($K32=Calc.Top, Q$10=Calc.Left),Player.Direction,INDEX(CHOOSE(INDEX(MazeDef,$L32,Q$11),Primitives!$C$2:$E$4,Primitives!$C$6:$E$8,Primitives!$C$10:$E$12,Primitives!$C$14:$E$16,Primitives!$C$18:$E$20,Primitives!$C$22:$E$24,Primitives!$C$26:$E$28,Primitives!$C$30:$E$32,Primitives!$C$34:$E$36,Primitives!$C$38:$E$40,Primitives!$C$42:$E$44,Primitives!$C$46:$E$48,Primitives!$C$50:$E$52,Primitives!$C$54:$E$56,Primitives!$C$58:$E$60),$N32,Q$13))</f>
        <v>1</v>
      </c>
      <c r="R32" s="64">
        <f>IF(AND($K32=Calc.Top, R$10=Calc.Left),Player.Direction,INDEX(CHOOSE(INDEX(MazeDef,$L32,R$11),Primitives!$C$2:$E$4,Primitives!$C$6:$E$8,Primitives!$C$10:$E$12,Primitives!$C$14:$E$16,Primitives!$C$18:$E$20,Primitives!$C$22:$E$24,Primitives!$C$26:$E$28,Primitives!$C$30:$E$32,Primitives!$C$34:$E$36,Primitives!$C$38:$E$40,Primitives!$C$42:$E$44,Primitives!$C$46:$E$48,Primitives!$C$50:$E$52,Primitives!$C$54:$E$56,Primitives!$C$58:$E$60),$N32,R$13))</f>
        <v>1</v>
      </c>
      <c r="S32" s="64">
        <f>IF(AND($K32=Calc.Top, S$10=Calc.Left),Player.Direction,INDEX(CHOOSE(INDEX(MazeDef,$L32,S$11),Primitives!$C$2:$E$4,Primitives!$C$6:$E$8,Primitives!$C$10:$E$12,Primitives!$C$14:$E$16,Primitives!$C$18:$E$20,Primitives!$C$22:$E$24,Primitives!$C$26:$E$28,Primitives!$C$30:$E$32,Primitives!$C$34:$E$36,Primitives!$C$38:$E$40,Primitives!$C$42:$E$44,Primitives!$C$46:$E$48,Primitives!$C$50:$E$52,Primitives!$C$54:$E$56,Primitives!$C$58:$E$60),$N32,S$13))</f>
        <v>1</v>
      </c>
      <c r="T32" s="64">
        <f>IF(AND($K32=Calc.Top, T$10=Calc.Left),Player.Direction,INDEX(CHOOSE(INDEX(MazeDef,$L32,T$11),Primitives!$C$2:$E$4,Primitives!$C$6:$E$8,Primitives!$C$10:$E$12,Primitives!$C$14:$E$16,Primitives!$C$18:$E$20,Primitives!$C$22:$E$24,Primitives!$C$26:$E$28,Primitives!$C$30:$E$32,Primitives!$C$34:$E$36,Primitives!$C$38:$E$40,Primitives!$C$42:$E$44,Primitives!$C$46:$E$48,Primitives!$C$50:$E$52,Primitives!$C$54:$E$56,Primitives!$C$58:$E$60),$N32,T$13))</f>
        <v>1</v>
      </c>
      <c r="U32" s="64">
        <f>IF(AND($K32=Calc.Top, U$10=Calc.Left),Player.Direction,INDEX(CHOOSE(INDEX(MazeDef,$L32,U$11),Primitives!$C$2:$E$4,Primitives!$C$6:$E$8,Primitives!$C$10:$E$12,Primitives!$C$14:$E$16,Primitives!$C$18:$E$20,Primitives!$C$22:$E$24,Primitives!$C$26:$E$28,Primitives!$C$30:$E$32,Primitives!$C$34:$E$36,Primitives!$C$38:$E$40,Primitives!$C$42:$E$44,Primitives!$C$46:$E$48,Primitives!$C$50:$E$52,Primitives!$C$54:$E$56,Primitives!$C$58:$E$60),$N32,U$13))</f>
        <v>1</v>
      </c>
      <c r="V32" s="64">
        <f>IF(AND($K32=Calc.Top, V$10=Calc.Left),Player.Direction,INDEX(CHOOSE(INDEX(MazeDef,$L32,V$11),Primitives!$C$2:$E$4,Primitives!$C$6:$E$8,Primitives!$C$10:$E$12,Primitives!$C$14:$E$16,Primitives!$C$18:$E$20,Primitives!$C$22:$E$24,Primitives!$C$26:$E$28,Primitives!$C$30:$E$32,Primitives!$C$34:$E$36,Primitives!$C$38:$E$40,Primitives!$C$42:$E$44,Primitives!$C$46:$E$48,Primitives!$C$50:$E$52,Primitives!$C$54:$E$56,Primitives!$C$58:$E$60),$N32,V$13))</f>
        <v>1</v>
      </c>
      <c r="W32" s="64">
        <f>IF(AND($K32=Calc.Top, W$10=Calc.Left),Player.Direction,INDEX(CHOOSE(INDEX(MazeDef,$L32,W$11),Primitives!$C$2:$E$4,Primitives!$C$6:$E$8,Primitives!$C$10:$E$12,Primitives!$C$14:$E$16,Primitives!$C$18:$E$20,Primitives!$C$22:$E$24,Primitives!$C$26:$E$28,Primitives!$C$30:$E$32,Primitives!$C$34:$E$36,Primitives!$C$38:$E$40,Primitives!$C$42:$E$44,Primitives!$C$46:$E$48,Primitives!$C$50:$E$52,Primitives!$C$54:$E$56,Primitives!$C$58:$E$60),$N32,W$13))</f>
        <v>1</v>
      </c>
      <c r="X32" s="64">
        <f>IF(AND($K32=Calc.Top, X$10=Calc.Left),Player.Direction,INDEX(CHOOSE(INDEX(MazeDef,$L32,X$11),Primitives!$C$2:$E$4,Primitives!$C$6:$E$8,Primitives!$C$10:$E$12,Primitives!$C$14:$E$16,Primitives!$C$18:$E$20,Primitives!$C$22:$E$24,Primitives!$C$26:$E$28,Primitives!$C$30:$E$32,Primitives!$C$34:$E$36,Primitives!$C$38:$E$40,Primitives!$C$42:$E$44,Primitives!$C$46:$E$48,Primitives!$C$50:$E$52,Primitives!$C$54:$E$56,Primitives!$C$58:$E$60),$N32,X$13))</f>
        <v>1</v>
      </c>
      <c r="Y32" s="64">
        <f>IF(AND($K32=Calc.Top, Y$10=Calc.Left),Player.Direction,INDEX(CHOOSE(INDEX(MazeDef,$L32,Y$11),Primitives!$C$2:$E$4,Primitives!$C$6:$E$8,Primitives!$C$10:$E$12,Primitives!$C$14:$E$16,Primitives!$C$18:$E$20,Primitives!$C$22:$E$24,Primitives!$C$26:$E$28,Primitives!$C$30:$E$32,Primitives!$C$34:$E$36,Primitives!$C$38:$E$40,Primitives!$C$42:$E$44,Primitives!$C$46:$E$48,Primitives!$C$50:$E$52,Primitives!$C$54:$E$56,Primitives!$C$58:$E$60),$N32,Y$13))</f>
        <v>0</v>
      </c>
      <c r="Z32" s="64">
        <f>IF(AND($K32=Calc.Top, Z$10=Calc.Left),Player.Direction,INDEX(CHOOSE(INDEX(MazeDef,$L32,Z$11),Primitives!$C$2:$E$4,Primitives!$C$6:$E$8,Primitives!$C$10:$E$12,Primitives!$C$14:$E$16,Primitives!$C$18:$E$20,Primitives!$C$22:$E$24,Primitives!$C$26:$E$28,Primitives!$C$30:$E$32,Primitives!$C$34:$E$36,Primitives!$C$38:$E$40,Primitives!$C$42:$E$44,Primitives!$C$46:$E$48,Primitives!$C$50:$E$52,Primitives!$C$54:$E$56,Primitives!$C$58:$E$60),$N32,Z$13))</f>
        <v>1</v>
      </c>
      <c r="AA32" s="64">
        <f>IF(AND($K32=Calc.Top, AA$10=Calc.Left),Player.Direction,INDEX(CHOOSE(INDEX(MazeDef,$L32,AA$11),Primitives!$C$2:$E$4,Primitives!$C$6:$E$8,Primitives!$C$10:$E$12,Primitives!$C$14:$E$16,Primitives!$C$18:$E$20,Primitives!$C$22:$E$24,Primitives!$C$26:$E$28,Primitives!$C$30:$E$32,Primitives!$C$34:$E$36,Primitives!$C$38:$E$40,Primitives!$C$42:$E$44,Primitives!$C$46:$E$48,Primitives!$C$50:$E$52,Primitives!$C$54:$E$56,Primitives!$C$58:$E$60),$N32,AA$13))</f>
        <v>1</v>
      </c>
      <c r="AB32" s="64">
        <f>IF(AND($K32=Calc.Top, AB$10=Calc.Left),Player.Direction,INDEX(CHOOSE(INDEX(MazeDef,$L32,AB$11),Primitives!$C$2:$E$4,Primitives!$C$6:$E$8,Primitives!$C$10:$E$12,Primitives!$C$14:$E$16,Primitives!$C$18:$E$20,Primitives!$C$22:$E$24,Primitives!$C$26:$E$28,Primitives!$C$30:$E$32,Primitives!$C$34:$E$36,Primitives!$C$38:$E$40,Primitives!$C$42:$E$44,Primitives!$C$46:$E$48,Primitives!$C$50:$E$52,Primitives!$C$54:$E$56,Primitives!$C$58:$E$60),$N32,AB$13))</f>
        <v>0</v>
      </c>
      <c r="AC32" s="64">
        <f>IF(AND($K32=Calc.Top, AC$10=Calc.Left),Player.Direction,INDEX(CHOOSE(INDEX(MazeDef,$L32,AC$11),Primitives!$C$2:$E$4,Primitives!$C$6:$E$8,Primitives!$C$10:$E$12,Primitives!$C$14:$E$16,Primitives!$C$18:$E$20,Primitives!$C$22:$E$24,Primitives!$C$26:$E$28,Primitives!$C$30:$E$32,Primitives!$C$34:$E$36,Primitives!$C$38:$E$40,Primitives!$C$42:$E$44,Primitives!$C$46:$E$48,Primitives!$C$50:$E$52,Primitives!$C$54:$E$56,Primitives!$C$58:$E$60),$N32,AC$13))</f>
        <v>1</v>
      </c>
      <c r="AD32" s="64">
        <f>IF(AND($K32=Calc.Top, AD$10=Calc.Left),Player.Direction,INDEX(CHOOSE(INDEX(MazeDef,$L32,AD$11),Primitives!$C$2:$E$4,Primitives!$C$6:$E$8,Primitives!$C$10:$E$12,Primitives!$C$14:$E$16,Primitives!$C$18:$E$20,Primitives!$C$22:$E$24,Primitives!$C$26:$E$28,Primitives!$C$30:$E$32,Primitives!$C$34:$E$36,Primitives!$C$38:$E$40,Primitives!$C$42:$E$44,Primitives!$C$46:$E$48,Primitives!$C$50:$E$52,Primitives!$C$54:$E$56,Primitives!$C$58:$E$60),$N32,AD$13))</f>
        <v>1</v>
      </c>
      <c r="AE32" s="64">
        <f>IF(AND($K32=Calc.Top, AE$10=Calc.Left),Player.Direction,INDEX(CHOOSE(INDEX(MazeDef,$L32,AE$11),Primitives!$C$2:$E$4,Primitives!$C$6:$E$8,Primitives!$C$10:$E$12,Primitives!$C$14:$E$16,Primitives!$C$18:$E$20,Primitives!$C$22:$E$24,Primitives!$C$26:$E$28,Primitives!$C$30:$E$32,Primitives!$C$34:$E$36,Primitives!$C$38:$E$40,Primitives!$C$42:$E$44,Primitives!$C$46:$E$48,Primitives!$C$50:$E$52,Primitives!$C$54:$E$56,Primitives!$C$58:$E$60),$N32,AE$13))</f>
        <v>1</v>
      </c>
      <c r="AF32" s="64">
        <f>IF(AND($K32=Calc.Top, AF$10=Calc.Left),Player.Direction,INDEX(CHOOSE(INDEX(MazeDef,$L32,AF$11),Primitives!$C$2:$E$4,Primitives!$C$6:$E$8,Primitives!$C$10:$E$12,Primitives!$C$14:$E$16,Primitives!$C$18:$E$20,Primitives!$C$22:$E$24,Primitives!$C$26:$E$28,Primitives!$C$30:$E$32,Primitives!$C$34:$E$36,Primitives!$C$38:$E$40,Primitives!$C$42:$E$44,Primitives!$C$46:$E$48,Primitives!$C$50:$E$52,Primitives!$C$54:$E$56,Primitives!$C$58:$E$60),$N32,AF$13))</f>
        <v>1</v>
      </c>
      <c r="AG32" s="64">
        <f>IF(AND($K32=Calc.Top, AG$10=Calc.Left),Player.Direction,INDEX(CHOOSE(INDEX(MazeDef,$L32,AG$11),Primitives!$C$2:$E$4,Primitives!$C$6:$E$8,Primitives!$C$10:$E$12,Primitives!$C$14:$E$16,Primitives!$C$18:$E$20,Primitives!$C$22:$E$24,Primitives!$C$26:$E$28,Primitives!$C$30:$E$32,Primitives!$C$34:$E$36,Primitives!$C$38:$E$40,Primitives!$C$42:$E$44,Primitives!$C$46:$E$48,Primitives!$C$50:$E$52,Primitives!$C$54:$E$56,Primitives!$C$58:$E$60),$N32,AG$13))</f>
        <v>1</v>
      </c>
      <c r="AH32" s="64">
        <f>IF(AND($K32=Calc.Top, AH$10=Calc.Left),Player.Direction,INDEX(CHOOSE(INDEX(MazeDef,$L32,AH$11),Primitives!$C$2:$E$4,Primitives!$C$6:$E$8,Primitives!$C$10:$E$12,Primitives!$C$14:$E$16,Primitives!$C$18:$E$20,Primitives!$C$22:$E$24,Primitives!$C$26:$E$28,Primitives!$C$30:$E$32,Primitives!$C$34:$E$36,Primitives!$C$38:$E$40,Primitives!$C$42:$E$44,Primitives!$C$46:$E$48,Primitives!$C$50:$E$52,Primitives!$C$54:$E$56,Primitives!$C$58:$E$60),$N32,AH$13))</f>
        <v>1</v>
      </c>
      <c r="AI32" s="64">
        <f>IF(AND($K32=Calc.Top, AI$10=Calc.Left),Player.Direction,INDEX(CHOOSE(INDEX(MazeDef,$L32,AI$11),Primitives!$C$2:$E$4,Primitives!$C$6:$E$8,Primitives!$C$10:$E$12,Primitives!$C$14:$E$16,Primitives!$C$18:$E$20,Primitives!$C$22:$E$24,Primitives!$C$26:$E$28,Primitives!$C$30:$E$32,Primitives!$C$34:$E$36,Primitives!$C$38:$E$40,Primitives!$C$42:$E$44,Primitives!$C$46:$E$48,Primitives!$C$50:$E$52,Primitives!$C$54:$E$56,Primitives!$C$58:$E$60),$N32,AI$13))</f>
        <v>1</v>
      </c>
      <c r="AJ32" s="64">
        <f>IF(AND($K32=Calc.Top, AJ$10=Calc.Left),Player.Direction,INDEX(CHOOSE(INDEX(MazeDef,$L32,AJ$11),Primitives!$C$2:$E$4,Primitives!$C$6:$E$8,Primitives!$C$10:$E$12,Primitives!$C$14:$E$16,Primitives!$C$18:$E$20,Primitives!$C$22:$E$24,Primitives!$C$26:$E$28,Primitives!$C$30:$E$32,Primitives!$C$34:$E$36,Primitives!$C$38:$E$40,Primitives!$C$42:$E$44,Primitives!$C$46:$E$48,Primitives!$C$50:$E$52,Primitives!$C$54:$E$56,Primitives!$C$58:$E$60),$N32,AJ$13))</f>
        <v>1</v>
      </c>
      <c r="AK32" s="64">
        <f>IF(AND($K32=Calc.Top, AK$10=Calc.Left),Player.Direction,INDEX(CHOOSE(INDEX(MazeDef,$L32,AK$11),Primitives!$C$2:$E$4,Primitives!$C$6:$E$8,Primitives!$C$10:$E$12,Primitives!$C$14:$E$16,Primitives!$C$18:$E$20,Primitives!$C$22:$E$24,Primitives!$C$26:$E$28,Primitives!$C$30:$E$32,Primitives!$C$34:$E$36,Primitives!$C$38:$E$40,Primitives!$C$42:$E$44,Primitives!$C$46:$E$48,Primitives!$C$50:$E$52,Primitives!$C$54:$E$56,Primitives!$C$58:$E$60),$N32,AK$13))</f>
        <v>0</v>
      </c>
      <c r="AL32" s="64">
        <f>IF(AND($K32=Calc.Top, AL$10=Calc.Left),Player.Direction,INDEX(CHOOSE(INDEX(MazeDef,$L32,AL$11),Primitives!$C$2:$E$4,Primitives!$C$6:$E$8,Primitives!$C$10:$E$12,Primitives!$C$14:$E$16,Primitives!$C$18:$E$20,Primitives!$C$22:$E$24,Primitives!$C$26:$E$28,Primitives!$C$30:$E$32,Primitives!$C$34:$E$36,Primitives!$C$38:$E$40,Primitives!$C$42:$E$44,Primitives!$C$46:$E$48,Primitives!$C$50:$E$52,Primitives!$C$54:$E$56,Primitives!$C$58:$E$60),$N32,AL$13))</f>
        <v>1</v>
      </c>
      <c r="AM32" s="64">
        <f>IF(AND($K32=Calc.Top, AM$10=Calc.Left),Player.Direction,INDEX(CHOOSE(INDEX(MazeDef,$L32,AM$11),Primitives!$C$2:$E$4,Primitives!$C$6:$E$8,Primitives!$C$10:$E$12,Primitives!$C$14:$E$16,Primitives!$C$18:$E$20,Primitives!$C$22:$E$24,Primitives!$C$26:$E$28,Primitives!$C$30:$E$32,Primitives!$C$34:$E$36,Primitives!$C$38:$E$40,Primitives!$C$42:$E$44,Primitives!$C$46:$E$48,Primitives!$C$50:$E$52,Primitives!$C$54:$E$56,Primitives!$C$58:$E$60),$N32,AM$13))</f>
        <v>1</v>
      </c>
      <c r="AN32" s="64">
        <f>IF(AND($K32=Calc.Top, AN$10=Calc.Left),Player.Direction,INDEX(CHOOSE(INDEX(MazeDef,$L32,AN$11),Primitives!$C$2:$E$4,Primitives!$C$6:$E$8,Primitives!$C$10:$E$12,Primitives!$C$14:$E$16,Primitives!$C$18:$E$20,Primitives!$C$22:$E$24,Primitives!$C$26:$E$28,Primitives!$C$30:$E$32,Primitives!$C$34:$E$36,Primitives!$C$38:$E$40,Primitives!$C$42:$E$44,Primitives!$C$46:$E$48,Primitives!$C$50:$E$52,Primitives!$C$54:$E$56,Primitives!$C$58:$E$60),$N32,AN$13))</f>
        <v>1</v>
      </c>
      <c r="AO32" s="64">
        <f>IF(AND($K32=Calc.Top, AO$10=Calc.Left),Player.Direction,INDEX(CHOOSE(INDEX(MazeDef,$L32,AO$11),Primitives!$C$2:$E$4,Primitives!$C$6:$E$8,Primitives!$C$10:$E$12,Primitives!$C$14:$E$16,Primitives!$C$18:$E$20,Primitives!$C$22:$E$24,Primitives!$C$26:$E$28,Primitives!$C$30:$E$32,Primitives!$C$34:$E$36,Primitives!$C$38:$E$40,Primitives!$C$42:$E$44,Primitives!$C$46:$E$48,Primitives!$C$50:$E$52,Primitives!$C$54:$E$56,Primitives!$C$58:$E$60),$N32,AO$13))</f>
        <v>1</v>
      </c>
      <c r="AP32" s="64">
        <f>IF(AND($K32=Calc.Top, AP$10=Calc.Left),Player.Direction,INDEX(CHOOSE(INDEX(MazeDef,$L32,AP$11),Primitives!$C$2:$E$4,Primitives!$C$6:$E$8,Primitives!$C$10:$E$12,Primitives!$C$14:$E$16,Primitives!$C$18:$E$20,Primitives!$C$22:$E$24,Primitives!$C$26:$E$28,Primitives!$C$30:$E$32,Primitives!$C$34:$E$36,Primitives!$C$38:$E$40,Primitives!$C$42:$E$44,Primitives!$C$46:$E$48,Primitives!$C$50:$E$52,Primitives!$C$54:$E$56,Primitives!$C$58:$E$60),$N32,AP$13))</f>
        <v>1</v>
      </c>
      <c r="AQ32" s="64">
        <f>IF(AND($K32=Calc.Top, AQ$10=Calc.Left),Player.Direction,INDEX(CHOOSE(INDEX(MazeDef,$L32,AQ$11),Primitives!$C$2:$E$4,Primitives!$C$6:$E$8,Primitives!$C$10:$E$12,Primitives!$C$14:$E$16,Primitives!$C$18:$E$20,Primitives!$C$22:$E$24,Primitives!$C$26:$E$28,Primitives!$C$30:$E$32,Primitives!$C$34:$E$36,Primitives!$C$38:$E$40,Primitives!$C$42:$E$44,Primitives!$C$46:$E$48,Primitives!$C$50:$E$52,Primitives!$C$54:$E$56,Primitives!$C$58:$E$60),$N32,AQ$13))</f>
        <v>1</v>
      </c>
      <c r="AR32" s="64">
        <f>IF(AND($K32=Calc.Top, AR$10=Calc.Left),Player.Direction,INDEX(CHOOSE(INDEX(MazeDef,$L32,AR$11),Primitives!$C$2:$E$4,Primitives!$C$6:$E$8,Primitives!$C$10:$E$12,Primitives!$C$14:$E$16,Primitives!$C$18:$E$20,Primitives!$C$22:$E$24,Primitives!$C$26:$E$28,Primitives!$C$30:$E$32,Primitives!$C$34:$E$36,Primitives!$C$38:$E$40,Primitives!$C$42:$E$44,Primitives!$C$46:$E$48,Primitives!$C$50:$E$52,Primitives!$C$54:$E$56,Primitives!$C$58:$E$60),$N32,AR$13))</f>
        <v>1</v>
      </c>
      <c r="AS32" s="2"/>
      <c r="AT32" s="2"/>
      <c r="AU32" s="2"/>
      <c r="AV32" s="2"/>
    </row>
    <row r="33" spans="1:48" ht="9" customHeight="1" x14ac:dyDescent="0.25">
      <c r="A33" s="5"/>
      <c r="B33" s="2"/>
      <c r="C33" s="2"/>
      <c r="D33" s="2"/>
      <c r="E33" s="2"/>
      <c r="F33" s="2"/>
      <c r="G33" s="2"/>
      <c r="H33" s="2"/>
      <c r="I33" s="2"/>
      <c r="J33" s="2"/>
      <c r="K33" s="2">
        <v>20</v>
      </c>
      <c r="L33" s="2">
        <v>7</v>
      </c>
      <c r="M33" s="68"/>
      <c r="N33" s="8">
        <v>2</v>
      </c>
      <c r="O33" s="64">
        <f>IF(AND($K33=Calc.Top, O$10=Calc.Left),Player.Direction,INDEX(CHOOSE(INDEX(MazeDef,$L33,O$11),Primitives!$C$2:$E$4,Primitives!$C$6:$E$8,Primitives!$C$10:$E$12,Primitives!$C$14:$E$16,Primitives!$C$18:$E$20,Primitives!$C$22:$E$24,Primitives!$C$26:$E$28,Primitives!$C$30:$E$32,Primitives!$C$34:$E$36,Primitives!$C$38:$E$40,Primitives!$C$42:$E$44,Primitives!$C$46:$E$48,Primitives!$C$50:$E$52,Primitives!$C$54:$E$56,Primitives!$C$58:$E$60),$N33,O$13))</f>
        <v>1</v>
      </c>
      <c r="P33" s="64">
        <f>IF(AND($K33=Calc.Top, P$10=Calc.Left),Player.Direction,INDEX(CHOOSE(INDEX(MazeDef,$L33,P$11),Primitives!$C$2:$E$4,Primitives!$C$6:$E$8,Primitives!$C$10:$E$12,Primitives!$C$14:$E$16,Primitives!$C$18:$E$20,Primitives!$C$22:$E$24,Primitives!$C$26:$E$28,Primitives!$C$30:$E$32,Primitives!$C$34:$E$36,Primitives!$C$38:$E$40,Primitives!$C$42:$E$44,Primitives!$C$46:$E$48,Primitives!$C$50:$E$52,Primitives!$C$54:$E$56,Primitives!$C$58:$E$60),$N33,P$13))</f>
        <v>0</v>
      </c>
      <c r="Q33" s="64">
        <f>IF(AND($K33=Calc.Top, Q$10=Calc.Left),Player.Direction,INDEX(CHOOSE(INDEX(MazeDef,$L33,Q$11),Primitives!$C$2:$E$4,Primitives!$C$6:$E$8,Primitives!$C$10:$E$12,Primitives!$C$14:$E$16,Primitives!$C$18:$E$20,Primitives!$C$22:$E$24,Primitives!$C$26:$E$28,Primitives!$C$30:$E$32,Primitives!$C$34:$E$36,Primitives!$C$38:$E$40,Primitives!$C$42:$E$44,Primitives!$C$46:$E$48,Primitives!$C$50:$E$52,Primitives!$C$54:$E$56,Primitives!$C$58:$E$60),$N33,Q$13))</f>
        <v>1</v>
      </c>
      <c r="R33" s="64">
        <f>IF(AND($K33=Calc.Top, R$10=Calc.Left),Player.Direction,INDEX(CHOOSE(INDEX(MazeDef,$L33,R$11),Primitives!$C$2:$E$4,Primitives!$C$6:$E$8,Primitives!$C$10:$E$12,Primitives!$C$14:$E$16,Primitives!$C$18:$E$20,Primitives!$C$22:$E$24,Primitives!$C$26:$E$28,Primitives!$C$30:$E$32,Primitives!$C$34:$E$36,Primitives!$C$38:$E$40,Primitives!$C$42:$E$44,Primitives!$C$46:$E$48,Primitives!$C$50:$E$52,Primitives!$C$54:$E$56,Primitives!$C$58:$E$60),$N33,R$13))</f>
        <v>1</v>
      </c>
      <c r="S33" s="64">
        <f>IF(AND($K33=Calc.Top, S$10=Calc.Left),Player.Direction,INDEX(CHOOSE(INDEX(MazeDef,$L33,S$11),Primitives!$C$2:$E$4,Primitives!$C$6:$E$8,Primitives!$C$10:$E$12,Primitives!$C$14:$E$16,Primitives!$C$18:$E$20,Primitives!$C$22:$E$24,Primitives!$C$26:$E$28,Primitives!$C$30:$E$32,Primitives!$C$34:$E$36,Primitives!$C$38:$E$40,Primitives!$C$42:$E$44,Primitives!$C$46:$E$48,Primitives!$C$50:$E$52,Primitives!$C$54:$E$56,Primitives!$C$58:$E$60),$N33,S$13))</f>
        <v>0</v>
      </c>
      <c r="T33" s="64">
        <f>IF(AND($K33=Calc.Top, T$10=Calc.Left),Player.Direction,INDEX(CHOOSE(INDEX(MazeDef,$L33,T$11),Primitives!$C$2:$E$4,Primitives!$C$6:$E$8,Primitives!$C$10:$E$12,Primitives!$C$14:$E$16,Primitives!$C$18:$E$20,Primitives!$C$22:$E$24,Primitives!$C$26:$E$28,Primitives!$C$30:$E$32,Primitives!$C$34:$E$36,Primitives!$C$38:$E$40,Primitives!$C$42:$E$44,Primitives!$C$46:$E$48,Primitives!$C$50:$E$52,Primitives!$C$54:$E$56,Primitives!$C$58:$E$60),$N33,T$13))</f>
        <v>0</v>
      </c>
      <c r="U33" s="64">
        <f>IF(AND($K33=Calc.Top, U$10=Calc.Left),Player.Direction,INDEX(CHOOSE(INDEX(MazeDef,$L33,U$11),Primitives!$C$2:$E$4,Primitives!$C$6:$E$8,Primitives!$C$10:$E$12,Primitives!$C$14:$E$16,Primitives!$C$18:$E$20,Primitives!$C$22:$E$24,Primitives!$C$26:$E$28,Primitives!$C$30:$E$32,Primitives!$C$34:$E$36,Primitives!$C$38:$E$40,Primitives!$C$42:$E$44,Primitives!$C$46:$E$48,Primitives!$C$50:$E$52,Primitives!$C$54:$E$56,Primitives!$C$58:$E$60),$N33,U$13))</f>
        <v>0</v>
      </c>
      <c r="V33" s="64">
        <f>IF(AND($K33=Calc.Top, V$10=Calc.Left),Player.Direction,INDEX(CHOOSE(INDEX(MazeDef,$L33,V$11),Primitives!$C$2:$E$4,Primitives!$C$6:$E$8,Primitives!$C$10:$E$12,Primitives!$C$14:$E$16,Primitives!$C$18:$E$20,Primitives!$C$22:$E$24,Primitives!$C$26:$E$28,Primitives!$C$30:$E$32,Primitives!$C$34:$E$36,Primitives!$C$38:$E$40,Primitives!$C$42:$E$44,Primitives!$C$46:$E$48,Primitives!$C$50:$E$52,Primitives!$C$54:$E$56,Primitives!$C$58:$E$60),$N33,V$13))</f>
        <v>0</v>
      </c>
      <c r="W33" s="64">
        <f>IF(AND($K33=Calc.Top, W$10=Calc.Left),Player.Direction,INDEX(CHOOSE(INDEX(MazeDef,$L33,W$11),Primitives!$C$2:$E$4,Primitives!$C$6:$E$8,Primitives!$C$10:$E$12,Primitives!$C$14:$E$16,Primitives!$C$18:$E$20,Primitives!$C$22:$E$24,Primitives!$C$26:$E$28,Primitives!$C$30:$E$32,Primitives!$C$34:$E$36,Primitives!$C$38:$E$40,Primitives!$C$42:$E$44,Primitives!$C$46:$E$48,Primitives!$C$50:$E$52,Primitives!$C$54:$E$56,Primitives!$C$58:$E$60),$N33,W$13))</f>
        <v>1</v>
      </c>
      <c r="X33" s="64">
        <f>IF(AND($K33=Calc.Top, X$10=Calc.Left),Player.Direction,INDEX(CHOOSE(INDEX(MazeDef,$L33,X$11),Primitives!$C$2:$E$4,Primitives!$C$6:$E$8,Primitives!$C$10:$E$12,Primitives!$C$14:$E$16,Primitives!$C$18:$E$20,Primitives!$C$22:$E$24,Primitives!$C$26:$E$28,Primitives!$C$30:$E$32,Primitives!$C$34:$E$36,Primitives!$C$38:$E$40,Primitives!$C$42:$E$44,Primitives!$C$46:$E$48,Primitives!$C$50:$E$52,Primitives!$C$54:$E$56,Primitives!$C$58:$E$60),$N33,X$13))</f>
        <v>1</v>
      </c>
      <c r="Y33" s="64">
        <f>IF(AND($K33=Calc.Top, Y$10=Calc.Left),Player.Direction,INDEX(CHOOSE(INDEX(MazeDef,$L33,Y$11),Primitives!$C$2:$E$4,Primitives!$C$6:$E$8,Primitives!$C$10:$E$12,Primitives!$C$14:$E$16,Primitives!$C$18:$E$20,Primitives!$C$22:$E$24,Primitives!$C$26:$E$28,Primitives!$C$30:$E$32,Primitives!$C$34:$E$36,Primitives!$C$38:$E$40,Primitives!$C$42:$E$44,Primitives!$C$46:$E$48,Primitives!$C$50:$E$52,Primitives!$C$54:$E$56,Primitives!$C$58:$E$60),$N33,Y$13))</f>
        <v>0</v>
      </c>
      <c r="Z33" s="64">
        <f>IF(AND($K33=Calc.Top, Z$10=Calc.Left),Player.Direction,INDEX(CHOOSE(INDEX(MazeDef,$L33,Z$11),Primitives!$C$2:$E$4,Primitives!$C$6:$E$8,Primitives!$C$10:$E$12,Primitives!$C$14:$E$16,Primitives!$C$18:$E$20,Primitives!$C$22:$E$24,Primitives!$C$26:$E$28,Primitives!$C$30:$E$32,Primitives!$C$34:$E$36,Primitives!$C$38:$E$40,Primitives!$C$42:$E$44,Primitives!$C$46:$E$48,Primitives!$C$50:$E$52,Primitives!$C$54:$E$56,Primitives!$C$58:$E$60),$N33,Z$13))</f>
        <v>1</v>
      </c>
      <c r="AA33" s="64">
        <f>IF(AND($K33=Calc.Top, AA$10=Calc.Left),Player.Direction,INDEX(CHOOSE(INDEX(MazeDef,$L33,AA$11),Primitives!$C$2:$E$4,Primitives!$C$6:$E$8,Primitives!$C$10:$E$12,Primitives!$C$14:$E$16,Primitives!$C$18:$E$20,Primitives!$C$22:$E$24,Primitives!$C$26:$E$28,Primitives!$C$30:$E$32,Primitives!$C$34:$E$36,Primitives!$C$38:$E$40,Primitives!$C$42:$E$44,Primitives!$C$46:$E$48,Primitives!$C$50:$E$52,Primitives!$C$54:$E$56,Primitives!$C$58:$E$60),$N33,AA$13))</f>
        <v>1</v>
      </c>
      <c r="AB33" s="64">
        <f>IF(AND($K33=Calc.Top, AB$10=Calc.Left),Player.Direction,INDEX(CHOOSE(INDEX(MazeDef,$L33,AB$11),Primitives!$C$2:$E$4,Primitives!$C$6:$E$8,Primitives!$C$10:$E$12,Primitives!$C$14:$E$16,Primitives!$C$18:$E$20,Primitives!$C$22:$E$24,Primitives!$C$26:$E$28,Primitives!$C$30:$E$32,Primitives!$C$34:$E$36,Primitives!$C$38:$E$40,Primitives!$C$42:$E$44,Primitives!$C$46:$E$48,Primitives!$C$50:$E$52,Primitives!$C$54:$E$56,Primitives!$C$58:$E$60),$N33,AB$13))</f>
        <v>0</v>
      </c>
      <c r="AC33" s="64">
        <f>IF(AND($K33=Calc.Top, AC$10=Calc.Left),Player.Direction,INDEX(CHOOSE(INDEX(MazeDef,$L33,AC$11),Primitives!$C$2:$E$4,Primitives!$C$6:$E$8,Primitives!$C$10:$E$12,Primitives!$C$14:$E$16,Primitives!$C$18:$E$20,Primitives!$C$22:$E$24,Primitives!$C$26:$E$28,Primitives!$C$30:$E$32,Primitives!$C$34:$E$36,Primitives!$C$38:$E$40,Primitives!$C$42:$E$44,Primitives!$C$46:$E$48,Primitives!$C$50:$E$52,Primitives!$C$54:$E$56,Primitives!$C$58:$E$60),$N33,AC$13))</f>
        <v>0</v>
      </c>
      <c r="AD33" s="64">
        <f>IF(AND($K33=Calc.Top, AD$10=Calc.Left),Player.Direction,INDEX(CHOOSE(INDEX(MazeDef,$L33,AD$11),Primitives!$C$2:$E$4,Primitives!$C$6:$E$8,Primitives!$C$10:$E$12,Primitives!$C$14:$E$16,Primitives!$C$18:$E$20,Primitives!$C$22:$E$24,Primitives!$C$26:$E$28,Primitives!$C$30:$E$32,Primitives!$C$34:$E$36,Primitives!$C$38:$E$40,Primitives!$C$42:$E$44,Primitives!$C$46:$E$48,Primitives!$C$50:$E$52,Primitives!$C$54:$E$56,Primitives!$C$58:$E$60),$N33,AD$13))</f>
        <v>0</v>
      </c>
      <c r="AE33" s="64">
        <f>IF(AND($K33=Calc.Top, AE$10=Calc.Left),Player.Direction,INDEX(CHOOSE(INDEX(MazeDef,$L33,AE$11),Primitives!$C$2:$E$4,Primitives!$C$6:$E$8,Primitives!$C$10:$E$12,Primitives!$C$14:$E$16,Primitives!$C$18:$E$20,Primitives!$C$22:$E$24,Primitives!$C$26:$E$28,Primitives!$C$30:$E$32,Primitives!$C$34:$E$36,Primitives!$C$38:$E$40,Primitives!$C$42:$E$44,Primitives!$C$46:$E$48,Primitives!$C$50:$E$52,Primitives!$C$54:$E$56,Primitives!$C$58:$E$60),$N33,AE$13))</f>
        <v>0</v>
      </c>
      <c r="AF33" s="64">
        <f>IF(AND($K33=Calc.Top, AF$10=Calc.Left),Player.Direction,INDEX(CHOOSE(INDEX(MazeDef,$L33,AF$11),Primitives!$C$2:$E$4,Primitives!$C$6:$E$8,Primitives!$C$10:$E$12,Primitives!$C$14:$E$16,Primitives!$C$18:$E$20,Primitives!$C$22:$E$24,Primitives!$C$26:$E$28,Primitives!$C$30:$E$32,Primitives!$C$34:$E$36,Primitives!$C$38:$E$40,Primitives!$C$42:$E$44,Primitives!$C$46:$E$48,Primitives!$C$50:$E$52,Primitives!$C$54:$E$56,Primitives!$C$58:$E$60),$N33,AF$13))</f>
        <v>0</v>
      </c>
      <c r="AG33" s="64">
        <f>IF(AND($K33=Calc.Top, AG$10=Calc.Left),Player.Direction,INDEX(CHOOSE(INDEX(MazeDef,$L33,AG$11),Primitives!$C$2:$E$4,Primitives!$C$6:$E$8,Primitives!$C$10:$E$12,Primitives!$C$14:$E$16,Primitives!$C$18:$E$20,Primitives!$C$22:$E$24,Primitives!$C$26:$E$28,Primitives!$C$30:$E$32,Primitives!$C$34:$E$36,Primitives!$C$38:$E$40,Primitives!$C$42:$E$44,Primitives!$C$46:$E$48,Primitives!$C$50:$E$52,Primitives!$C$54:$E$56,Primitives!$C$58:$E$60),$N33,AG$13))</f>
        <v>0</v>
      </c>
      <c r="AH33" s="64">
        <f>IF(AND($K33=Calc.Top, AH$10=Calc.Left),Player.Direction,INDEX(CHOOSE(INDEX(MazeDef,$L33,AH$11),Primitives!$C$2:$E$4,Primitives!$C$6:$E$8,Primitives!$C$10:$E$12,Primitives!$C$14:$E$16,Primitives!$C$18:$E$20,Primitives!$C$22:$E$24,Primitives!$C$26:$E$28,Primitives!$C$30:$E$32,Primitives!$C$34:$E$36,Primitives!$C$38:$E$40,Primitives!$C$42:$E$44,Primitives!$C$46:$E$48,Primitives!$C$50:$E$52,Primitives!$C$54:$E$56,Primitives!$C$58:$E$60),$N33,AH$13))</f>
        <v>0</v>
      </c>
      <c r="AI33" s="64">
        <f>IF(AND($K33=Calc.Top, AI$10=Calc.Left),Player.Direction,INDEX(CHOOSE(INDEX(MazeDef,$L33,AI$11),Primitives!$C$2:$E$4,Primitives!$C$6:$E$8,Primitives!$C$10:$E$12,Primitives!$C$14:$E$16,Primitives!$C$18:$E$20,Primitives!$C$22:$E$24,Primitives!$C$26:$E$28,Primitives!$C$30:$E$32,Primitives!$C$34:$E$36,Primitives!$C$38:$E$40,Primitives!$C$42:$E$44,Primitives!$C$46:$E$48,Primitives!$C$50:$E$52,Primitives!$C$54:$E$56,Primitives!$C$58:$E$60),$N33,AI$13))</f>
        <v>1</v>
      </c>
      <c r="AJ33" s="64">
        <f>IF(AND($K33=Calc.Top, AJ$10=Calc.Left),Player.Direction,INDEX(CHOOSE(INDEX(MazeDef,$L33,AJ$11),Primitives!$C$2:$E$4,Primitives!$C$6:$E$8,Primitives!$C$10:$E$12,Primitives!$C$14:$E$16,Primitives!$C$18:$E$20,Primitives!$C$22:$E$24,Primitives!$C$26:$E$28,Primitives!$C$30:$E$32,Primitives!$C$34:$E$36,Primitives!$C$38:$E$40,Primitives!$C$42:$E$44,Primitives!$C$46:$E$48,Primitives!$C$50:$E$52,Primitives!$C$54:$E$56,Primitives!$C$58:$E$60),$N33,AJ$13))</f>
        <v>1</v>
      </c>
      <c r="AK33" s="64">
        <f>IF(AND($K33=Calc.Top, AK$10=Calc.Left),Player.Direction,INDEX(CHOOSE(INDEX(MazeDef,$L33,AK$11),Primitives!$C$2:$E$4,Primitives!$C$6:$E$8,Primitives!$C$10:$E$12,Primitives!$C$14:$E$16,Primitives!$C$18:$E$20,Primitives!$C$22:$E$24,Primitives!$C$26:$E$28,Primitives!$C$30:$E$32,Primitives!$C$34:$E$36,Primitives!$C$38:$E$40,Primitives!$C$42:$E$44,Primitives!$C$46:$E$48,Primitives!$C$50:$E$52,Primitives!$C$54:$E$56,Primitives!$C$58:$E$60),$N33,AK$13))</f>
        <v>0</v>
      </c>
      <c r="AL33" s="64">
        <f>IF(AND($K33=Calc.Top, AL$10=Calc.Left),Player.Direction,INDEX(CHOOSE(INDEX(MazeDef,$L33,AL$11),Primitives!$C$2:$E$4,Primitives!$C$6:$E$8,Primitives!$C$10:$E$12,Primitives!$C$14:$E$16,Primitives!$C$18:$E$20,Primitives!$C$22:$E$24,Primitives!$C$26:$E$28,Primitives!$C$30:$E$32,Primitives!$C$34:$E$36,Primitives!$C$38:$E$40,Primitives!$C$42:$E$44,Primitives!$C$46:$E$48,Primitives!$C$50:$E$52,Primitives!$C$54:$E$56,Primitives!$C$58:$E$60),$N33,AL$13))</f>
        <v>1</v>
      </c>
      <c r="AM33" s="64">
        <f>IF(AND($K33=Calc.Top, AM$10=Calc.Left),Player.Direction,INDEX(CHOOSE(INDEX(MazeDef,$L33,AM$11),Primitives!$C$2:$E$4,Primitives!$C$6:$E$8,Primitives!$C$10:$E$12,Primitives!$C$14:$E$16,Primitives!$C$18:$E$20,Primitives!$C$22:$E$24,Primitives!$C$26:$E$28,Primitives!$C$30:$E$32,Primitives!$C$34:$E$36,Primitives!$C$38:$E$40,Primitives!$C$42:$E$44,Primitives!$C$46:$E$48,Primitives!$C$50:$E$52,Primitives!$C$54:$E$56,Primitives!$C$58:$E$60),$N33,AM$13))</f>
        <v>1</v>
      </c>
      <c r="AN33" s="64">
        <f>IF(AND($K33=Calc.Top, AN$10=Calc.Left),Player.Direction,INDEX(CHOOSE(INDEX(MazeDef,$L33,AN$11),Primitives!$C$2:$E$4,Primitives!$C$6:$E$8,Primitives!$C$10:$E$12,Primitives!$C$14:$E$16,Primitives!$C$18:$E$20,Primitives!$C$22:$E$24,Primitives!$C$26:$E$28,Primitives!$C$30:$E$32,Primitives!$C$34:$E$36,Primitives!$C$38:$E$40,Primitives!$C$42:$E$44,Primitives!$C$46:$E$48,Primitives!$C$50:$E$52,Primitives!$C$54:$E$56,Primitives!$C$58:$E$60),$N33,AN$13))</f>
        <v>0</v>
      </c>
      <c r="AO33" s="64">
        <f>IF(AND($K33=Calc.Top, AO$10=Calc.Left),Player.Direction,INDEX(CHOOSE(INDEX(MazeDef,$L33,AO$11),Primitives!$C$2:$E$4,Primitives!$C$6:$E$8,Primitives!$C$10:$E$12,Primitives!$C$14:$E$16,Primitives!$C$18:$E$20,Primitives!$C$22:$E$24,Primitives!$C$26:$E$28,Primitives!$C$30:$E$32,Primitives!$C$34:$E$36,Primitives!$C$38:$E$40,Primitives!$C$42:$E$44,Primitives!$C$46:$E$48,Primitives!$C$50:$E$52,Primitives!$C$54:$E$56,Primitives!$C$58:$E$60),$N33,AO$13))</f>
        <v>0</v>
      </c>
      <c r="AP33" s="64">
        <f>IF(AND($K33=Calc.Top, AP$10=Calc.Left),Player.Direction,INDEX(CHOOSE(INDEX(MazeDef,$L33,AP$11),Primitives!$C$2:$E$4,Primitives!$C$6:$E$8,Primitives!$C$10:$E$12,Primitives!$C$14:$E$16,Primitives!$C$18:$E$20,Primitives!$C$22:$E$24,Primitives!$C$26:$E$28,Primitives!$C$30:$E$32,Primitives!$C$34:$E$36,Primitives!$C$38:$E$40,Primitives!$C$42:$E$44,Primitives!$C$46:$E$48,Primitives!$C$50:$E$52,Primitives!$C$54:$E$56,Primitives!$C$58:$E$60),$N33,AP$13))</f>
        <v>0</v>
      </c>
      <c r="AQ33" s="64">
        <f>IF(AND($K33=Calc.Top, AQ$10=Calc.Left),Player.Direction,INDEX(CHOOSE(INDEX(MazeDef,$L33,AQ$11),Primitives!$C$2:$E$4,Primitives!$C$6:$E$8,Primitives!$C$10:$E$12,Primitives!$C$14:$E$16,Primitives!$C$18:$E$20,Primitives!$C$22:$E$24,Primitives!$C$26:$E$28,Primitives!$C$30:$E$32,Primitives!$C$34:$E$36,Primitives!$C$38:$E$40,Primitives!$C$42:$E$44,Primitives!$C$46:$E$48,Primitives!$C$50:$E$52,Primitives!$C$54:$E$56,Primitives!$C$58:$E$60),$N33,AQ$13))</f>
        <v>0</v>
      </c>
      <c r="AR33" s="64">
        <f>IF(AND($K33=Calc.Top, AR$10=Calc.Left),Player.Direction,INDEX(CHOOSE(INDEX(MazeDef,$L33,AR$11),Primitives!$C$2:$E$4,Primitives!$C$6:$E$8,Primitives!$C$10:$E$12,Primitives!$C$14:$E$16,Primitives!$C$18:$E$20,Primitives!$C$22:$E$24,Primitives!$C$26:$E$28,Primitives!$C$30:$E$32,Primitives!$C$34:$E$36,Primitives!$C$38:$E$40,Primitives!$C$42:$E$44,Primitives!$C$46:$E$48,Primitives!$C$50:$E$52,Primitives!$C$54:$E$56,Primitives!$C$58:$E$60),$N33,AR$13))</f>
        <v>1</v>
      </c>
      <c r="AS33" s="2"/>
      <c r="AT33" s="2"/>
      <c r="AU33" s="2"/>
      <c r="AV33" s="2"/>
    </row>
    <row r="34" spans="1:48" ht="9" customHeight="1" x14ac:dyDescent="0.25">
      <c r="A34" s="5"/>
      <c r="B34" s="21">
        <v>1</v>
      </c>
      <c r="C34" s="21">
        <v>1</v>
      </c>
      <c r="D34" s="21">
        <v>1</v>
      </c>
      <c r="E34" s="2"/>
      <c r="F34" s="2"/>
      <c r="G34" s="2"/>
      <c r="H34" s="2"/>
      <c r="I34" s="2"/>
      <c r="J34" s="2"/>
      <c r="K34" s="2">
        <v>21</v>
      </c>
      <c r="L34" s="2">
        <v>7</v>
      </c>
      <c r="M34" s="69"/>
      <c r="N34" s="9">
        <v>3</v>
      </c>
      <c r="O34" s="64">
        <f>IF(AND($K34=Calc.Top, O$10=Calc.Left),Player.Direction,INDEX(CHOOSE(INDEX(MazeDef,$L34,O$11),Primitives!$C$2:$E$4,Primitives!$C$6:$E$8,Primitives!$C$10:$E$12,Primitives!$C$14:$E$16,Primitives!$C$18:$E$20,Primitives!$C$22:$E$24,Primitives!$C$26:$E$28,Primitives!$C$30:$E$32,Primitives!$C$34:$E$36,Primitives!$C$38:$E$40,Primitives!$C$42:$E$44,Primitives!$C$46:$E$48,Primitives!$C$50:$E$52,Primitives!$C$54:$E$56,Primitives!$C$58:$E$60),$N34,O$13))</f>
        <v>1</v>
      </c>
      <c r="P34" s="64">
        <f>IF(AND($K34=Calc.Top, P$10=Calc.Left),Player.Direction,INDEX(CHOOSE(INDEX(MazeDef,$L34,P$11),Primitives!$C$2:$E$4,Primitives!$C$6:$E$8,Primitives!$C$10:$E$12,Primitives!$C$14:$E$16,Primitives!$C$18:$E$20,Primitives!$C$22:$E$24,Primitives!$C$26:$E$28,Primitives!$C$30:$E$32,Primitives!$C$34:$E$36,Primitives!$C$38:$E$40,Primitives!$C$42:$E$44,Primitives!$C$46:$E$48,Primitives!$C$50:$E$52,Primitives!$C$54:$E$56,Primitives!$C$58:$E$60),$N34,P$13))</f>
        <v>0</v>
      </c>
      <c r="Q34" s="64">
        <f>IF(AND($K34=Calc.Top, Q$10=Calc.Left),Player.Direction,INDEX(CHOOSE(INDEX(MazeDef,$L34,Q$11),Primitives!$C$2:$E$4,Primitives!$C$6:$E$8,Primitives!$C$10:$E$12,Primitives!$C$14:$E$16,Primitives!$C$18:$E$20,Primitives!$C$22:$E$24,Primitives!$C$26:$E$28,Primitives!$C$30:$E$32,Primitives!$C$34:$E$36,Primitives!$C$38:$E$40,Primitives!$C$42:$E$44,Primitives!$C$46:$E$48,Primitives!$C$50:$E$52,Primitives!$C$54:$E$56,Primitives!$C$58:$E$60),$N34,Q$13))</f>
        <v>1</v>
      </c>
      <c r="R34" s="64">
        <f>IF(AND($K34=Calc.Top, R$10=Calc.Left),Player.Direction,INDEX(CHOOSE(INDEX(MazeDef,$L34,R$11),Primitives!$C$2:$E$4,Primitives!$C$6:$E$8,Primitives!$C$10:$E$12,Primitives!$C$14:$E$16,Primitives!$C$18:$E$20,Primitives!$C$22:$E$24,Primitives!$C$26:$E$28,Primitives!$C$30:$E$32,Primitives!$C$34:$E$36,Primitives!$C$38:$E$40,Primitives!$C$42:$E$44,Primitives!$C$46:$E$48,Primitives!$C$50:$E$52,Primitives!$C$54:$E$56,Primitives!$C$58:$E$60),$N34,R$13))</f>
        <v>1</v>
      </c>
      <c r="S34" s="64">
        <f>IF(AND($K34=Calc.Top, S$10=Calc.Left),Player.Direction,INDEX(CHOOSE(INDEX(MazeDef,$L34,S$11),Primitives!$C$2:$E$4,Primitives!$C$6:$E$8,Primitives!$C$10:$E$12,Primitives!$C$14:$E$16,Primitives!$C$18:$E$20,Primitives!$C$22:$E$24,Primitives!$C$26:$E$28,Primitives!$C$30:$E$32,Primitives!$C$34:$E$36,Primitives!$C$38:$E$40,Primitives!$C$42:$E$44,Primitives!$C$46:$E$48,Primitives!$C$50:$E$52,Primitives!$C$54:$E$56,Primitives!$C$58:$E$60),$N34,S$13))</f>
        <v>0</v>
      </c>
      <c r="T34" s="64">
        <f>IF(AND($K34=Calc.Top, T$10=Calc.Left),Player.Direction,INDEX(CHOOSE(INDEX(MazeDef,$L34,T$11),Primitives!$C$2:$E$4,Primitives!$C$6:$E$8,Primitives!$C$10:$E$12,Primitives!$C$14:$E$16,Primitives!$C$18:$E$20,Primitives!$C$22:$E$24,Primitives!$C$26:$E$28,Primitives!$C$30:$E$32,Primitives!$C$34:$E$36,Primitives!$C$38:$E$40,Primitives!$C$42:$E$44,Primitives!$C$46:$E$48,Primitives!$C$50:$E$52,Primitives!$C$54:$E$56,Primitives!$C$58:$E$60),$N34,T$13))</f>
        <v>1</v>
      </c>
      <c r="U34" s="64">
        <f>IF(AND($K34=Calc.Top, U$10=Calc.Left),Player.Direction,INDEX(CHOOSE(INDEX(MazeDef,$L34,U$11),Primitives!$C$2:$E$4,Primitives!$C$6:$E$8,Primitives!$C$10:$E$12,Primitives!$C$14:$E$16,Primitives!$C$18:$E$20,Primitives!$C$22:$E$24,Primitives!$C$26:$E$28,Primitives!$C$30:$E$32,Primitives!$C$34:$E$36,Primitives!$C$38:$E$40,Primitives!$C$42:$E$44,Primitives!$C$46:$E$48,Primitives!$C$50:$E$52,Primitives!$C$54:$E$56,Primitives!$C$58:$E$60),$N34,U$13))</f>
        <v>1</v>
      </c>
      <c r="V34" s="64">
        <f>IF(AND($K34=Calc.Top, V$10=Calc.Left),Player.Direction,INDEX(CHOOSE(INDEX(MazeDef,$L34,V$11),Primitives!$C$2:$E$4,Primitives!$C$6:$E$8,Primitives!$C$10:$E$12,Primitives!$C$14:$E$16,Primitives!$C$18:$E$20,Primitives!$C$22:$E$24,Primitives!$C$26:$E$28,Primitives!$C$30:$E$32,Primitives!$C$34:$E$36,Primitives!$C$38:$E$40,Primitives!$C$42:$E$44,Primitives!$C$46:$E$48,Primitives!$C$50:$E$52,Primitives!$C$54:$E$56,Primitives!$C$58:$E$60),$N34,V$13))</f>
        <v>0</v>
      </c>
      <c r="W34" s="64">
        <f>IF(AND($K34=Calc.Top, W$10=Calc.Left),Player.Direction,INDEX(CHOOSE(INDEX(MazeDef,$L34,W$11),Primitives!$C$2:$E$4,Primitives!$C$6:$E$8,Primitives!$C$10:$E$12,Primitives!$C$14:$E$16,Primitives!$C$18:$E$20,Primitives!$C$22:$E$24,Primitives!$C$26:$E$28,Primitives!$C$30:$E$32,Primitives!$C$34:$E$36,Primitives!$C$38:$E$40,Primitives!$C$42:$E$44,Primitives!$C$46:$E$48,Primitives!$C$50:$E$52,Primitives!$C$54:$E$56,Primitives!$C$58:$E$60),$N34,W$13))</f>
        <v>1</v>
      </c>
      <c r="X34" s="64">
        <f>IF(AND($K34=Calc.Top, X$10=Calc.Left),Player.Direction,INDEX(CHOOSE(INDEX(MazeDef,$L34,X$11),Primitives!$C$2:$E$4,Primitives!$C$6:$E$8,Primitives!$C$10:$E$12,Primitives!$C$14:$E$16,Primitives!$C$18:$E$20,Primitives!$C$22:$E$24,Primitives!$C$26:$E$28,Primitives!$C$30:$E$32,Primitives!$C$34:$E$36,Primitives!$C$38:$E$40,Primitives!$C$42:$E$44,Primitives!$C$46:$E$48,Primitives!$C$50:$E$52,Primitives!$C$54:$E$56,Primitives!$C$58:$E$60),$N34,X$13))</f>
        <v>1</v>
      </c>
      <c r="Y34" s="64">
        <f>IF(AND($K34=Calc.Top, Y$10=Calc.Left),Player.Direction,INDEX(CHOOSE(INDEX(MazeDef,$L34,Y$11),Primitives!$C$2:$E$4,Primitives!$C$6:$E$8,Primitives!$C$10:$E$12,Primitives!$C$14:$E$16,Primitives!$C$18:$E$20,Primitives!$C$22:$E$24,Primitives!$C$26:$E$28,Primitives!$C$30:$E$32,Primitives!$C$34:$E$36,Primitives!$C$38:$E$40,Primitives!$C$42:$E$44,Primitives!$C$46:$E$48,Primitives!$C$50:$E$52,Primitives!$C$54:$E$56,Primitives!$C$58:$E$60),$N34,Y$13))</f>
        <v>0</v>
      </c>
      <c r="Z34" s="64">
        <f>IF(AND($K34=Calc.Top, Z$10=Calc.Left),Player.Direction,INDEX(CHOOSE(INDEX(MazeDef,$L34,Z$11),Primitives!$C$2:$E$4,Primitives!$C$6:$E$8,Primitives!$C$10:$E$12,Primitives!$C$14:$E$16,Primitives!$C$18:$E$20,Primitives!$C$22:$E$24,Primitives!$C$26:$E$28,Primitives!$C$30:$E$32,Primitives!$C$34:$E$36,Primitives!$C$38:$E$40,Primitives!$C$42:$E$44,Primitives!$C$46:$E$48,Primitives!$C$50:$E$52,Primitives!$C$54:$E$56,Primitives!$C$58:$E$60),$N34,Z$13))</f>
        <v>1</v>
      </c>
      <c r="AA34" s="64">
        <f>IF(AND($K34=Calc.Top, AA$10=Calc.Left),Player.Direction,INDEX(CHOOSE(INDEX(MazeDef,$L34,AA$11),Primitives!$C$2:$E$4,Primitives!$C$6:$E$8,Primitives!$C$10:$E$12,Primitives!$C$14:$E$16,Primitives!$C$18:$E$20,Primitives!$C$22:$E$24,Primitives!$C$26:$E$28,Primitives!$C$30:$E$32,Primitives!$C$34:$E$36,Primitives!$C$38:$E$40,Primitives!$C$42:$E$44,Primitives!$C$46:$E$48,Primitives!$C$50:$E$52,Primitives!$C$54:$E$56,Primitives!$C$58:$E$60),$N34,AA$13))</f>
        <v>1</v>
      </c>
      <c r="AB34" s="64">
        <f>IF(AND($K34=Calc.Top, AB$10=Calc.Left),Player.Direction,INDEX(CHOOSE(INDEX(MazeDef,$L34,AB$11),Primitives!$C$2:$E$4,Primitives!$C$6:$E$8,Primitives!$C$10:$E$12,Primitives!$C$14:$E$16,Primitives!$C$18:$E$20,Primitives!$C$22:$E$24,Primitives!$C$26:$E$28,Primitives!$C$30:$E$32,Primitives!$C$34:$E$36,Primitives!$C$38:$E$40,Primitives!$C$42:$E$44,Primitives!$C$46:$E$48,Primitives!$C$50:$E$52,Primitives!$C$54:$E$56,Primitives!$C$58:$E$60),$N34,AB$13))</f>
        <v>0</v>
      </c>
      <c r="AC34" s="64">
        <f>IF(AND($K34=Calc.Top, AC$10=Calc.Left),Player.Direction,INDEX(CHOOSE(INDEX(MazeDef,$L34,AC$11),Primitives!$C$2:$E$4,Primitives!$C$6:$E$8,Primitives!$C$10:$E$12,Primitives!$C$14:$E$16,Primitives!$C$18:$E$20,Primitives!$C$22:$E$24,Primitives!$C$26:$E$28,Primitives!$C$30:$E$32,Primitives!$C$34:$E$36,Primitives!$C$38:$E$40,Primitives!$C$42:$E$44,Primitives!$C$46:$E$48,Primitives!$C$50:$E$52,Primitives!$C$54:$E$56,Primitives!$C$58:$E$60),$N34,AC$13))</f>
        <v>1</v>
      </c>
      <c r="AD34" s="64">
        <f>IF(AND($K34=Calc.Top, AD$10=Calc.Left),Player.Direction,INDEX(CHOOSE(INDEX(MazeDef,$L34,AD$11),Primitives!$C$2:$E$4,Primitives!$C$6:$E$8,Primitives!$C$10:$E$12,Primitives!$C$14:$E$16,Primitives!$C$18:$E$20,Primitives!$C$22:$E$24,Primitives!$C$26:$E$28,Primitives!$C$30:$E$32,Primitives!$C$34:$E$36,Primitives!$C$38:$E$40,Primitives!$C$42:$E$44,Primitives!$C$46:$E$48,Primitives!$C$50:$E$52,Primitives!$C$54:$E$56,Primitives!$C$58:$E$60),$N34,AD$13))</f>
        <v>1</v>
      </c>
      <c r="AE34" s="64">
        <f>IF(AND($K34=Calc.Top, AE$10=Calc.Left),Player.Direction,INDEX(CHOOSE(INDEX(MazeDef,$L34,AE$11),Primitives!$C$2:$E$4,Primitives!$C$6:$E$8,Primitives!$C$10:$E$12,Primitives!$C$14:$E$16,Primitives!$C$18:$E$20,Primitives!$C$22:$E$24,Primitives!$C$26:$E$28,Primitives!$C$30:$E$32,Primitives!$C$34:$E$36,Primitives!$C$38:$E$40,Primitives!$C$42:$E$44,Primitives!$C$46:$E$48,Primitives!$C$50:$E$52,Primitives!$C$54:$E$56,Primitives!$C$58:$E$60),$N34,AE$13))</f>
        <v>0</v>
      </c>
      <c r="AF34" s="64">
        <f>IF(AND($K34=Calc.Top, AF$10=Calc.Left),Player.Direction,INDEX(CHOOSE(INDEX(MazeDef,$L34,AF$11),Primitives!$C$2:$E$4,Primitives!$C$6:$E$8,Primitives!$C$10:$E$12,Primitives!$C$14:$E$16,Primitives!$C$18:$E$20,Primitives!$C$22:$E$24,Primitives!$C$26:$E$28,Primitives!$C$30:$E$32,Primitives!$C$34:$E$36,Primitives!$C$38:$E$40,Primitives!$C$42:$E$44,Primitives!$C$46:$E$48,Primitives!$C$50:$E$52,Primitives!$C$54:$E$56,Primitives!$C$58:$E$60),$N34,AF$13))</f>
        <v>1</v>
      </c>
      <c r="AG34" s="64">
        <f>IF(AND($K34=Calc.Top, AG$10=Calc.Left),Player.Direction,INDEX(CHOOSE(INDEX(MazeDef,$L34,AG$11),Primitives!$C$2:$E$4,Primitives!$C$6:$E$8,Primitives!$C$10:$E$12,Primitives!$C$14:$E$16,Primitives!$C$18:$E$20,Primitives!$C$22:$E$24,Primitives!$C$26:$E$28,Primitives!$C$30:$E$32,Primitives!$C$34:$E$36,Primitives!$C$38:$E$40,Primitives!$C$42:$E$44,Primitives!$C$46:$E$48,Primitives!$C$50:$E$52,Primitives!$C$54:$E$56,Primitives!$C$58:$E$60),$N34,AG$13))</f>
        <v>1</v>
      </c>
      <c r="AH34" s="64">
        <f>IF(AND($K34=Calc.Top, AH$10=Calc.Left),Player.Direction,INDEX(CHOOSE(INDEX(MazeDef,$L34,AH$11),Primitives!$C$2:$E$4,Primitives!$C$6:$E$8,Primitives!$C$10:$E$12,Primitives!$C$14:$E$16,Primitives!$C$18:$E$20,Primitives!$C$22:$E$24,Primitives!$C$26:$E$28,Primitives!$C$30:$E$32,Primitives!$C$34:$E$36,Primitives!$C$38:$E$40,Primitives!$C$42:$E$44,Primitives!$C$46:$E$48,Primitives!$C$50:$E$52,Primitives!$C$54:$E$56,Primitives!$C$58:$E$60),$N34,AH$13))</f>
        <v>0</v>
      </c>
      <c r="AI34" s="64">
        <f>IF(AND($K34=Calc.Top, AI$10=Calc.Left),Player.Direction,INDEX(CHOOSE(INDEX(MazeDef,$L34,AI$11),Primitives!$C$2:$E$4,Primitives!$C$6:$E$8,Primitives!$C$10:$E$12,Primitives!$C$14:$E$16,Primitives!$C$18:$E$20,Primitives!$C$22:$E$24,Primitives!$C$26:$E$28,Primitives!$C$30:$E$32,Primitives!$C$34:$E$36,Primitives!$C$38:$E$40,Primitives!$C$42:$E$44,Primitives!$C$46:$E$48,Primitives!$C$50:$E$52,Primitives!$C$54:$E$56,Primitives!$C$58:$E$60),$N34,AI$13))</f>
        <v>1</v>
      </c>
      <c r="AJ34" s="64">
        <f>IF(AND($K34=Calc.Top, AJ$10=Calc.Left),Player.Direction,INDEX(CHOOSE(INDEX(MazeDef,$L34,AJ$11),Primitives!$C$2:$E$4,Primitives!$C$6:$E$8,Primitives!$C$10:$E$12,Primitives!$C$14:$E$16,Primitives!$C$18:$E$20,Primitives!$C$22:$E$24,Primitives!$C$26:$E$28,Primitives!$C$30:$E$32,Primitives!$C$34:$E$36,Primitives!$C$38:$E$40,Primitives!$C$42:$E$44,Primitives!$C$46:$E$48,Primitives!$C$50:$E$52,Primitives!$C$54:$E$56,Primitives!$C$58:$E$60),$N34,AJ$13))</f>
        <v>1</v>
      </c>
      <c r="AK34" s="64">
        <f>IF(AND($K34=Calc.Top, AK$10=Calc.Left),Player.Direction,INDEX(CHOOSE(INDEX(MazeDef,$L34,AK$11),Primitives!$C$2:$E$4,Primitives!$C$6:$E$8,Primitives!$C$10:$E$12,Primitives!$C$14:$E$16,Primitives!$C$18:$E$20,Primitives!$C$22:$E$24,Primitives!$C$26:$E$28,Primitives!$C$30:$E$32,Primitives!$C$34:$E$36,Primitives!$C$38:$E$40,Primitives!$C$42:$E$44,Primitives!$C$46:$E$48,Primitives!$C$50:$E$52,Primitives!$C$54:$E$56,Primitives!$C$58:$E$60),$N34,AK$13))</f>
        <v>0</v>
      </c>
      <c r="AL34" s="64">
        <f>IF(AND($K34=Calc.Top, AL$10=Calc.Left),Player.Direction,INDEX(CHOOSE(INDEX(MazeDef,$L34,AL$11),Primitives!$C$2:$E$4,Primitives!$C$6:$E$8,Primitives!$C$10:$E$12,Primitives!$C$14:$E$16,Primitives!$C$18:$E$20,Primitives!$C$22:$E$24,Primitives!$C$26:$E$28,Primitives!$C$30:$E$32,Primitives!$C$34:$E$36,Primitives!$C$38:$E$40,Primitives!$C$42:$E$44,Primitives!$C$46:$E$48,Primitives!$C$50:$E$52,Primitives!$C$54:$E$56,Primitives!$C$58:$E$60),$N34,AL$13))</f>
        <v>1</v>
      </c>
      <c r="AM34" s="64">
        <f>IF(AND($K34=Calc.Top, AM$10=Calc.Left),Player.Direction,INDEX(CHOOSE(INDEX(MazeDef,$L34,AM$11),Primitives!$C$2:$E$4,Primitives!$C$6:$E$8,Primitives!$C$10:$E$12,Primitives!$C$14:$E$16,Primitives!$C$18:$E$20,Primitives!$C$22:$E$24,Primitives!$C$26:$E$28,Primitives!$C$30:$E$32,Primitives!$C$34:$E$36,Primitives!$C$38:$E$40,Primitives!$C$42:$E$44,Primitives!$C$46:$E$48,Primitives!$C$50:$E$52,Primitives!$C$54:$E$56,Primitives!$C$58:$E$60),$N34,AM$13))</f>
        <v>1</v>
      </c>
      <c r="AN34" s="64">
        <f>IF(AND($K34=Calc.Top, AN$10=Calc.Left),Player.Direction,INDEX(CHOOSE(INDEX(MazeDef,$L34,AN$11),Primitives!$C$2:$E$4,Primitives!$C$6:$E$8,Primitives!$C$10:$E$12,Primitives!$C$14:$E$16,Primitives!$C$18:$E$20,Primitives!$C$22:$E$24,Primitives!$C$26:$E$28,Primitives!$C$30:$E$32,Primitives!$C$34:$E$36,Primitives!$C$38:$E$40,Primitives!$C$42:$E$44,Primitives!$C$46:$E$48,Primitives!$C$50:$E$52,Primitives!$C$54:$E$56,Primitives!$C$58:$E$60),$N34,AN$13))</f>
        <v>0</v>
      </c>
      <c r="AO34" s="64">
        <f>IF(AND($K34=Calc.Top, AO$10=Calc.Left),Player.Direction,INDEX(CHOOSE(INDEX(MazeDef,$L34,AO$11),Primitives!$C$2:$E$4,Primitives!$C$6:$E$8,Primitives!$C$10:$E$12,Primitives!$C$14:$E$16,Primitives!$C$18:$E$20,Primitives!$C$22:$E$24,Primitives!$C$26:$E$28,Primitives!$C$30:$E$32,Primitives!$C$34:$E$36,Primitives!$C$38:$E$40,Primitives!$C$42:$E$44,Primitives!$C$46:$E$48,Primitives!$C$50:$E$52,Primitives!$C$54:$E$56,Primitives!$C$58:$E$60),$N34,AO$13))</f>
        <v>1</v>
      </c>
      <c r="AP34" s="64">
        <f>IF(AND($K34=Calc.Top, AP$10=Calc.Left),Player.Direction,INDEX(CHOOSE(INDEX(MazeDef,$L34,AP$11),Primitives!$C$2:$E$4,Primitives!$C$6:$E$8,Primitives!$C$10:$E$12,Primitives!$C$14:$E$16,Primitives!$C$18:$E$20,Primitives!$C$22:$E$24,Primitives!$C$26:$E$28,Primitives!$C$30:$E$32,Primitives!$C$34:$E$36,Primitives!$C$38:$E$40,Primitives!$C$42:$E$44,Primitives!$C$46:$E$48,Primitives!$C$50:$E$52,Primitives!$C$54:$E$56,Primitives!$C$58:$E$60),$N34,AP$13))</f>
        <v>1</v>
      </c>
      <c r="AQ34" s="64">
        <f>IF(AND($K34=Calc.Top, AQ$10=Calc.Left),Player.Direction,INDEX(CHOOSE(INDEX(MazeDef,$L34,AQ$11),Primitives!$C$2:$E$4,Primitives!$C$6:$E$8,Primitives!$C$10:$E$12,Primitives!$C$14:$E$16,Primitives!$C$18:$E$20,Primitives!$C$22:$E$24,Primitives!$C$26:$E$28,Primitives!$C$30:$E$32,Primitives!$C$34:$E$36,Primitives!$C$38:$E$40,Primitives!$C$42:$E$44,Primitives!$C$46:$E$48,Primitives!$C$50:$E$52,Primitives!$C$54:$E$56,Primitives!$C$58:$E$60),$N34,AQ$13))</f>
        <v>0</v>
      </c>
      <c r="AR34" s="64">
        <f>IF(AND($K34=Calc.Top, AR$10=Calc.Left),Player.Direction,INDEX(CHOOSE(INDEX(MazeDef,$L34,AR$11),Primitives!$C$2:$E$4,Primitives!$C$6:$E$8,Primitives!$C$10:$E$12,Primitives!$C$14:$E$16,Primitives!$C$18:$E$20,Primitives!$C$22:$E$24,Primitives!$C$26:$E$28,Primitives!$C$30:$E$32,Primitives!$C$34:$E$36,Primitives!$C$38:$E$40,Primitives!$C$42:$E$44,Primitives!$C$46:$E$48,Primitives!$C$50:$E$52,Primitives!$C$54:$E$56,Primitives!$C$58:$E$60),$N34,AR$13))</f>
        <v>1</v>
      </c>
      <c r="AS34" s="2"/>
      <c r="AT34" s="2"/>
      <c r="AU34" s="2"/>
      <c r="AV34" s="2"/>
    </row>
    <row r="35" spans="1:48" ht="9" customHeight="1" x14ac:dyDescent="0.25">
      <c r="A35" s="5">
        <v>6</v>
      </c>
      <c r="B35" s="21"/>
      <c r="C35" s="21"/>
      <c r="D35" s="21">
        <v>1</v>
      </c>
      <c r="E35" s="2"/>
      <c r="F35" s="2"/>
      <c r="G35" s="2"/>
      <c r="H35" s="2"/>
      <c r="I35" s="2"/>
      <c r="J35" s="2"/>
      <c r="K35" s="2">
        <v>22</v>
      </c>
      <c r="L35" s="2">
        <v>8</v>
      </c>
      <c r="M35" s="67">
        <v>8</v>
      </c>
      <c r="N35" s="7">
        <v>1</v>
      </c>
      <c r="O35" s="64">
        <f>IF(AND($K35=Calc.Top, O$10=Calc.Left),Player.Direction,INDEX(CHOOSE(INDEX(MazeDef,$L35,O$11),Primitives!$C$2:$E$4,Primitives!$C$6:$E$8,Primitives!$C$10:$E$12,Primitives!$C$14:$E$16,Primitives!$C$18:$E$20,Primitives!$C$22:$E$24,Primitives!$C$26:$E$28,Primitives!$C$30:$E$32,Primitives!$C$34:$E$36,Primitives!$C$38:$E$40,Primitives!$C$42:$E$44,Primitives!$C$46:$E$48,Primitives!$C$50:$E$52,Primitives!$C$54:$E$56,Primitives!$C$58:$E$60),$N35,O$13))</f>
        <v>1</v>
      </c>
      <c r="P35" s="64">
        <f>IF(AND($K35=Calc.Top, P$10=Calc.Left),Player.Direction,INDEX(CHOOSE(INDEX(MazeDef,$L35,P$11),Primitives!$C$2:$E$4,Primitives!$C$6:$E$8,Primitives!$C$10:$E$12,Primitives!$C$14:$E$16,Primitives!$C$18:$E$20,Primitives!$C$22:$E$24,Primitives!$C$26:$E$28,Primitives!$C$30:$E$32,Primitives!$C$34:$E$36,Primitives!$C$38:$E$40,Primitives!$C$42:$E$44,Primitives!$C$46:$E$48,Primitives!$C$50:$E$52,Primitives!$C$54:$E$56,Primitives!$C$58:$E$60),$N35,P$13))</f>
        <v>0</v>
      </c>
      <c r="Q35" s="64">
        <f>IF(AND($K35=Calc.Top, Q$10=Calc.Left),Player.Direction,INDEX(CHOOSE(INDEX(MazeDef,$L35,Q$11),Primitives!$C$2:$E$4,Primitives!$C$6:$E$8,Primitives!$C$10:$E$12,Primitives!$C$14:$E$16,Primitives!$C$18:$E$20,Primitives!$C$22:$E$24,Primitives!$C$26:$E$28,Primitives!$C$30:$E$32,Primitives!$C$34:$E$36,Primitives!$C$38:$E$40,Primitives!$C$42:$E$44,Primitives!$C$46:$E$48,Primitives!$C$50:$E$52,Primitives!$C$54:$E$56,Primitives!$C$58:$E$60),$N35,Q$13))</f>
        <v>1</v>
      </c>
      <c r="R35" s="64">
        <f>IF(AND($K35=Calc.Top, R$10=Calc.Left),Player.Direction,INDEX(CHOOSE(INDEX(MazeDef,$L35,R$11),Primitives!$C$2:$E$4,Primitives!$C$6:$E$8,Primitives!$C$10:$E$12,Primitives!$C$14:$E$16,Primitives!$C$18:$E$20,Primitives!$C$22:$E$24,Primitives!$C$26:$E$28,Primitives!$C$30:$E$32,Primitives!$C$34:$E$36,Primitives!$C$38:$E$40,Primitives!$C$42:$E$44,Primitives!$C$46:$E$48,Primitives!$C$50:$E$52,Primitives!$C$54:$E$56,Primitives!$C$58:$E$60),$N35,R$13))</f>
        <v>1</v>
      </c>
      <c r="S35" s="64">
        <f>IF(AND($K35=Calc.Top, S$10=Calc.Left),Player.Direction,INDEX(CHOOSE(INDEX(MazeDef,$L35,S$11),Primitives!$C$2:$E$4,Primitives!$C$6:$E$8,Primitives!$C$10:$E$12,Primitives!$C$14:$E$16,Primitives!$C$18:$E$20,Primitives!$C$22:$E$24,Primitives!$C$26:$E$28,Primitives!$C$30:$E$32,Primitives!$C$34:$E$36,Primitives!$C$38:$E$40,Primitives!$C$42:$E$44,Primitives!$C$46:$E$48,Primitives!$C$50:$E$52,Primitives!$C$54:$E$56,Primitives!$C$58:$E$60),$N35,S$13))</f>
        <v>0</v>
      </c>
      <c r="T35" s="64">
        <f>IF(AND($K35=Calc.Top, T$10=Calc.Left),Player.Direction,INDEX(CHOOSE(INDEX(MazeDef,$L35,T$11),Primitives!$C$2:$E$4,Primitives!$C$6:$E$8,Primitives!$C$10:$E$12,Primitives!$C$14:$E$16,Primitives!$C$18:$E$20,Primitives!$C$22:$E$24,Primitives!$C$26:$E$28,Primitives!$C$30:$E$32,Primitives!$C$34:$E$36,Primitives!$C$38:$E$40,Primitives!$C$42:$E$44,Primitives!$C$46:$E$48,Primitives!$C$50:$E$52,Primitives!$C$54:$E$56,Primitives!$C$58:$E$60),$N35,T$13))</f>
        <v>1</v>
      </c>
      <c r="U35" s="64">
        <f>IF(AND($K35=Calc.Top, U$10=Calc.Left),Player.Direction,INDEX(CHOOSE(INDEX(MazeDef,$L35,U$11),Primitives!$C$2:$E$4,Primitives!$C$6:$E$8,Primitives!$C$10:$E$12,Primitives!$C$14:$E$16,Primitives!$C$18:$E$20,Primitives!$C$22:$E$24,Primitives!$C$26:$E$28,Primitives!$C$30:$E$32,Primitives!$C$34:$E$36,Primitives!$C$38:$E$40,Primitives!$C$42:$E$44,Primitives!$C$46:$E$48,Primitives!$C$50:$E$52,Primitives!$C$54:$E$56,Primitives!$C$58:$E$60),$N35,U$13))</f>
        <v>1</v>
      </c>
      <c r="V35" s="64">
        <f>IF(AND($K35=Calc.Top, V$10=Calc.Left),Player.Direction,INDEX(CHOOSE(INDEX(MazeDef,$L35,V$11),Primitives!$C$2:$E$4,Primitives!$C$6:$E$8,Primitives!$C$10:$E$12,Primitives!$C$14:$E$16,Primitives!$C$18:$E$20,Primitives!$C$22:$E$24,Primitives!$C$26:$E$28,Primitives!$C$30:$E$32,Primitives!$C$34:$E$36,Primitives!$C$38:$E$40,Primitives!$C$42:$E$44,Primitives!$C$46:$E$48,Primitives!$C$50:$E$52,Primitives!$C$54:$E$56,Primitives!$C$58:$E$60),$N35,V$13))</f>
        <v>0</v>
      </c>
      <c r="W35" s="64">
        <f>IF(AND($K35=Calc.Top, W$10=Calc.Left),Player.Direction,INDEX(CHOOSE(INDEX(MazeDef,$L35,W$11),Primitives!$C$2:$E$4,Primitives!$C$6:$E$8,Primitives!$C$10:$E$12,Primitives!$C$14:$E$16,Primitives!$C$18:$E$20,Primitives!$C$22:$E$24,Primitives!$C$26:$E$28,Primitives!$C$30:$E$32,Primitives!$C$34:$E$36,Primitives!$C$38:$E$40,Primitives!$C$42:$E$44,Primitives!$C$46:$E$48,Primitives!$C$50:$E$52,Primitives!$C$54:$E$56,Primitives!$C$58:$E$60),$N35,W$13))</f>
        <v>1</v>
      </c>
      <c r="X35" s="64">
        <f>IF(AND($K35=Calc.Top, X$10=Calc.Left),Player.Direction,INDEX(CHOOSE(INDEX(MazeDef,$L35,X$11),Primitives!$C$2:$E$4,Primitives!$C$6:$E$8,Primitives!$C$10:$E$12,Primitives!$C$14:$E$16,Primitives!$C$18:$E$20,Primitives!$C$22:$E$24,Primitives!$C$26:$E$28,Primitives!$C$30:$E$32,Primitives!$C$34:$E$36,Primitives!$C$38:$E$40,Primitives!$C$42:$E$44,Primitives!$C$46:$E$48,Primitives!$C$50:$E$52,Primitives!$C$54:$E$56,Primitives!$C$58:$E$60),$N35,X$13))</f>
        <v>1</v>
      </c>
      <c r="Y35" s="64">
        <f>IF(AND($K35=Calc.Top, Y$10=Calc.Left),Player.Direction,INDEX(CHOOSE(INDEX(MazeDef,$L35,Y$11),Primitives!$C$2:$E$4,Primitives!$C$6:$E$8,Primitives!$C$10:$E$12,Primitives!$C$14:$E$16,Primitives!$C$18:$E$20,Primitives!$C$22:$E$24,Primitives!$C$26:$E$28,Primitives!$C$30:$E$32,Primitives!$C$34:$E$36,Primitives!$C$38:$E$40,Primitives!$C$42:$E$44,Primitives!$C$46:$E$48,Primitives!$C$50:$E$52,Primitives!$C$54:$E$56,Primitives!$C$58:$E$60),$N35,Y$13))</f>
        <v>0</v>
      </c>
      <c r="Z35" s="64">
        <f>IF(AND($K35=Calc.Top, Z$10=Calc.Left),Player.Direction,INDEX(CHOOSE(INDEX(MazeDef,$L35,Z$11),Primitives!$C$2:$E$4,Primitives!$C$6:$E$8,Primitives!$C$10:$E$12,Primitives!$C$14:$E$16,Primitives!$C$18:$E$20,Primitives!$C$22:$E$24,Primitives!$C$26:$E$28,Primitives!$C$30:$E$32,Primitives!$C$34:$E$36,Primitives!$C$38:$E$40,Primitives!$C$42:$E$44,Primitives!$C$46:$E$48,Primitives!$C$50:$E$52,Primitives!$C$54:$E$56,Primitives!$C$58:$E$60),$N35,Z$13))</f>
        <v>1</v>
      </c>
      <c r="AA35" s="64">
        <f>IF(AND($K35=Calc.Top, AA$10=Calc.Left),Player.Direction,INDEX(CHOOSE(INDEX(MazeDef,$L35,AA$11),Primitives!$C$2:$E$4,Primitives!$C$6:$E$8,Primitives!$C$10:$E$12,Primitives!$C$14:$E$16,Primitives!$C$18:$E$20,Primitives!$C$22:$E$24,Primitives!$C$26:$E$28,Primitives!$C$30:$E$32,Primitives!$C$34:$E$36,Primitives!$C$38:$E$40,Primitives!$C$42:$E$44,Primitives!$C$46:$E$48,Primitives!$C$50:$E$52,Primitives!$C$54:$E$56,Primitives!$C$58:$E$60),$N35,AA$13))</f>
        <v>1</v>
      </c>
      <c r="AB35" s="64">
        <f>IF(AND($K35=Calc.Top, AB$10=Calc.Left),Player.Direction,INDEX(CHOOSE(INDEX(MazeDef,$L35,AB$11),Primitives!$C$2:$E$4,Primitives!$C$6:$E$8,Primitives!$C$10:$E$12,Primitives!$C$14:$E$16,Primitives!$C$18:$E$20,Primitives!$C$22:$E$24,Primitives!$C$26:$E$28,Primitives!$C$30:$E$32,Primitives!$C$34:$E$36,Primitives!$C$38:$E$40,Primitives!$C$42:$E$44,Primitives!$C$46:$E$48,Primitives!$C$50:$E$52,Primitives!$C$54:$E$56,Primitives!$C$58:$E$60),$N35,AB$13))</f>
        <v>0</v>
      </c>
      <c r="AC35" s="64">
        <f>IF(AND($K35=Calc.Top, AC$10=Calc.Left),Player.Direction,INDEX(CHOOSE(INDEX(MazeDef,$L35,AC$11),Primitives!$C$2:$E$4,Primitives!$C$6:$E$8,Primitives!$C$10:$E$12,Primitives!$C$14:$E$16,Primitives!$C$18:$E$20,Primitives!$C$22:$E$24,Primitives!$C$26:$E$28,Primitives!$C$30:$E$32,Primitives!$C$34:$E$36,Primitives!$C$38:$E$40,Primitives!$C$42:$E$44,Primitives!$C$46:$E$48,Primitives!$C$50:$E$52,Primitives!$C$54:$E$56,Primitives!$C$58:$E$60),$N35,AC$13))</f>
        <v>1</v>
      </c>
      <c r="AD35" s="64">
        <f>IF(AND($K35=Calc.Top, AD$10=Calc.Left),Player.Direction,INDEX(CHOOSE(INDEX(MazeDef,$L35,AD$11),Primitives!$C$2:$E$4,Primitives!$C$6:$E$8,Primitives!$C$10:$E$12,Primitives!$C$14:$E$16,Primitives!$C$18:$E$20,Primitives!$C$22:$E$24,Primitives!$C$26:$E$28,Primitives!$C$30:$E$32,Primitives!$C$34:$E$36,Primitives!$C$38:$E$40,Primitives!$C$42:$E$44,Primitives!$C$46:$E$48,Primitives!$C$50:$E$52,Primitives!$C$54:$E$56,Primitives!$C$58:$E$60),$N35,AD$13))</f>
        <v>1</v>
      </c>
      <c r="AE35" s="64">
        <f>IF(AND($K35=Calc.Top, AE$10=Calc.Left),Player.Direction,INDEX(CHOOSE(INDEX(MazeDef,$L35,AE$11),Primitives!$C$2:$E$4,Primitives!$C$6:$E$8,Primitives!$C$10:$E$12,Primitives!$C$14:$E$16,Primitives!$C$18:$E$20,Primitives!$C$22:$E$24,Primitives!$C$26:$E$28,Primitives!$C$30:$E$32,Primitives!$C$34:$E$36,Primitives!$C$38:$E$40,Primitives!$C$42:$E$44,Primitives!$C$46:$E$48,Primitives!$C$50:$E$52,Primitives!$C$54:$E$56,Primitives!$C$58:$E$60),$N35,AE$13))</f>
        <v>0</v>
      </c>
      <c r="AF35" s="64">
        <f>IF(AND($K35=Calc.Top, AF$10=Calc.Left),Player.Direction,INDEX(CHOOSE(INDEX(MazeDef,$L35,AF$11),Primitives!$C$2:$E$4,Primitives!$C$6:$E$8,Primitives!$C$10:$E$12,Primitives!$C$14:$E$16,Primitives!$C$18:$E$20,Primitives!$C$22:$E$24,Primitives!$C$26:$E$28,Primitives!$C$30:$E$32,Primitives!$C$34:$E$36,Primitives!$C$38:$E$40,Primitives!$C$42:$E$44,Primitives!$C$46:$E$48,Primitives!$C$50:$E$52,Primitives!$C$54:$E$56,Primitives!$C$58:$E$60),$N35,AF$13))</f>
        <v>1</v>
      </c>
      <c r="AG35" s="64">
        <f>IF(AND($K35=Calc.Top, AG$10=Calc.Left),Player.Direction,INDEX(CHOOSE(INDEX(MazeDef,$L35,AG$11),Primitives!$C$2:$E$4,Primitives!$C$6:$E$8,Primitives!$C$10:$E$12,Primitives!$C$14:$E$16,Primitives!$C$18:$E$20,Primitives!$C$22:$E$24,Primitives!$C$26:$E$28,Primitives!$C$30:$E$32,Primitives!$C$34:$E$36,Primitives!$C$38:$E$40,Primitives!$C$42:$E$44,Primitives!$C$46:$E$48,Primitives!$C$50:$E$52,Primitives!$C$54:$E$56,Primitives!$C$58:$E$60),$N35,AG$13))</f>
        <v>1</v>
      </c>
      <c r="AH35" s="64">
        <f>IF(AND($K35=Calc.Top, AH$10=Calc.Left),Player.Direction,INDEX(CHOOSE(INDEX(MazeDef,$L35,AH$11),Primitives!$C$2:$E$4,Primitives!$C$6:$E$8,Primitives!$C$10:$E$12,Primitives!$C$14:$E$16,Primitives!$C$18:$E$20,Primitives!$C$22:$E$24,Primitives!$C$26:$E$28,Primitives!$C$30:$E$32,Primitives!$C$34:$E$36,Primitives!$C$38:$E$40,Primitives!$C$42:$E$44,Primitives!$C$46:$E$48,Primitives!$C$50:$E$52,Primitives!$C$54:$E$56,Primitives!$C$58:$E$60),$N35,AH$13))</f>
        <v>0</v>
      </c>
      <c r="AI35" s="64">
        <f>IF(AND($K35=Calc.Top, AI$10=Calc.Left),Player.Direction,INDEX(CHOOSE(INDEX(MazeDef,$L35,AI$11),Primitives!$C$2:$E$4,Primitives!$C$6:$E$8,Primitives!$C$10:$E$12,Primitives!$C$14:$E$16,Primitives!$C$18:$E$20,Primitives!$C$22:$E$24,Primitives!$C$26:$E$28,Primitives!$C$30:$E$32,Primitives!$C$34:$E$36,Primitives!$C$38:$E$40,Primitives!$C$42:$E$44,Primitives!$C$46:$E$48,Primitives!$C$50:$E$52,Primitives!$C$54:$E$56,Primitives!$C$58:$E$60),$N35,AI$13))</f>
        <v>1</v>
      </c>
      <c r="AJ35" s="64">
        <f>IF(AND($K35=Calc.Top, AJ$10=Calc.Left),Player.Direction,INDEX(CHOOSE(INDEX(MazeDef,$L35,AJ$11),Primitives!$C$2:$E$4,Primitives!$C$6:$E$8,Primitives!$C$10:$E$12,Primitives!$C$14:$E$16,Primitives!$C$18:$E$20,Primitives!$C$22:$E$24,Primitives!$C$26:$E$28,Primitives!$C$30:$E$32,Primitives!$C$34:$E$36,Primitives!$C$38:$E$40,Primitives!$C$42:$E$44,Primitives!$C$46:$E$48,Primitives!$C$50:$E$52,Primitives!$C$54:$E$56,Primitives!$C$58:$E$60),$N35,AJ$13))</f>
        <v>1</v>
      </c>
      <c r="AK35" s="64">
        <f>IF(AND($K35=Calc.Top, AK$10=Calc.Left),Player.Direction,INDEX(CHOOSE(INDEX(MazeDef,$L35,AK$11),Primitives!$C$2:$E$4,Primitives!$C$6:$E$8,Primitives!$C$10:$E$12,Primitives!$C$14:$E$16,Primitives!$C$18:$E$20,Primitives!$C$22:$E$24,Primitives!$C$26:$E$28,Primitives!$C$30:$E$32,Primitives!$C$34:$E$36,Primitives!$C$38:$E$40,Primitives!$C$42:$E$44,Primitives!$C$46:$E$48,Primitives!$C$50:$E$52,Primitives!$C$54:$E$56,Primitives!$C$58:$E$60),$N35,AK$13))</f>
        <v>0</v>
      </c>
      <c r="AL35" s="64">
        <f>IF(AND($K35=Calc.Top, AL$10=Calc.Left),Player.Direction,INDEX(CHOOSE(INDEX(MazeDef,$L35,AL$11),Primitives!$C$2:$E$4,Primitives!$C$6:$E$8,Primitives!$C$10:$E$12,Primitives!$C$14:$E$16,Primitives!$C$18:$E$20,Primitives!$C$22:$E$24,Primitives!$C$26:$E$28,Primitives!$C$30:$E$32,Primitives!$C$34:$E$36,Primitives!$C$38:$E$40,Primitives!$C$42:$E$44,Primitives!$C$46:$E$48,Primitives!$C$50:$E$52,Primitives!$C$54:$E$56,Primitives!$C$58:$E$60),$N35,AL$13))</f>
        <v>1</v>
      </c>
      <c r="AM35" s="64">
        <f>IF(AND($K35=Calc.Top, AM$10=Calc.Left),Player.Direction,INDEX(CHOOSE(INDEX(MazeDef,$L35,AM$11),Primitives!$C$2:$E$4,Primitives!$C$6:$E$8,Primitives!$C$10:$E$12,Primitives!$C$14:$E$16,Primitives!$C$18:$E$20,Primitives!$C$22:$E$24,Primitives!$C$26:$E$28,Primitives!$C$30:$E$32,Primitives!$C$34:$E$36,Primitives!$C$38:$E$40,Primitives!$C$42:$E$44,Primitives!$C$46:$E$48,Primitives!$C$50:$E$52,Primitives!$C$54:$E$56,Primitives!$C$58:$E$60),$N35,AM$13))</f>
        <v>1</v>
      </c>
      <c r="AN35" s="64">
        <f>IF(AND($K35=Calc.Top, AN$10=Calc.Left),Player.Direction,INDEX(CHOOSE(INDEX(MazeDef,$L35,AN$11),Primitives!$C$2:$E$4,Primitives!$C$6:$E$8,Primitives!$C$10:$E$12,Primitives!$C$14:$E$16,Primitives!$C$18:$E$20,Primitives!$C$22:$E$24,Primitives!$C$26:$E$28,Primitives!$C$30:$E$32,Primitives!$C$34:$E$36,Primitives!$C$38:$E$40,Primitives!$C$42:$E$44,Primitives!$C$46:$E$48,Primitives!$C$50:$E$52,Primitives!$C$54:$E$56,Primitives!$C$58:$E$60),$N35,AN$13))</f>
        <v>0</v>
      </c>
      <c r="AO35" s="64">
        <f>IF(AND($K35=Calc.Top, AO$10=Calc.Left),Player.Direction,INDEX(CHOOSE(INDEX(MazeDef,$L35,AO$11),Primitives!$C$2:$E$4,Primitives!$C$6:$E$8,Primitives!$C$10:$E$12,Primitives!$C$14:$E$16,Primitives!$C$18:$E$20,Primitives!$C$22:$E$24,Primitives!$C$26:$E$28,Primitives!$C$30:$E$32,Primitives!$C$34:$E$36,Primitives!$C$38:$E$40,Primitives!$C$42:$E$44,Primitives!$C$46:$E$48,Primitives!$C$50:$E$52,Primitives!$C$54:$E$56,Primitives!$C$58:$E$60),$N35,AO$13))</f>
        <v>1</v>
      </c>
      <c r="AP35" s="64">
        <f>IF(AND($K35=Calc.Top, AP$10=Calc.Left),Player.Direction,INDEX(CHOOSE(INDEX(MazeDef,$L35,AP$11),Primitives!$C$2:$E$4,Primitives!$C$6:$E$8,Primitives!$C$10:$E$12,Primitives!$C$14:$E$16,Primitives!$C$18:$E$20,Primitives!$C$22:$E$24,Primitives!$C$26:$E$28,Primitives!$C$30:$E$32,Primitives!$C$34:$E$36,Primitives!$C$38:$E$40,Primitives!$C$42:$E$44,Primitives!$C$46:$E$48,Primitives!$C$50:$E$52,Primitives!$C$54:$E$56,Primitives!$C$58:$E$60),$N35,AP$13))</f>
        <v>1</v>
      </c>
      <c r="AQ35" s="64">
        <f>IF(AND($K35=Calc.Top, AQ$10=Calc.Left),Player.Direction,INDEX(CHOOSE(INDEX(MazeDef,$L35,AQ$11),Primitives!$C$2:$E$4,Primitives!$C$6:$E$8,Primitives!$C$10:$E$12,Primitives!$C$14:$E$16,Primitives!$C$18:$E$20,Primitives!$C$22:$E$24,Primitives!$C$26:$E$28,Primitives!$C$30:$E$32,Primitives!$C$34:$E$36,Primitives!$C$38:$E$40,Primitives!$C$42:$E$44,Primitives!$C$46:$E$48,Primitives!$C$50:$E$52,Primitives!$C$54:$E$56,Primitives!$C$58:$E$60),$N35,AQ$13))</f>
        <v>0</v>
      </c>
      <c r="AR35" s="64">
        <f>IF(AND($K35=Calc.Top, AR$10=Calc.Left),Player.Direction,INDEX(CHOOSE(INDEX(MazeDef,$L35,AR$11),Primitives!$C$2:$E$4,Primitives!$C$6:$E$8,Primitives!$C$10:$E$12,Primitives!$C$14:$E$16,Primitives!$C$18:$E$20,Primitives!$C$22:$E$24,Primitives!$C$26:$E$28,Primitives!$C$30:$E$32,Primitives!$C$34:$E$36,Primitives!$C$38:$E$40,Primitives!$C$42:$E$44,Primitives!$C$46:$E$48,Primitives!$C$50:$E$52,Primitives!$C$54:$E$56,Primitives!$C$58:$E$60),$N35,AR$13))</f>
        <v>1</v>
      </c>
      <c r="AS35" s="2"/>
      <c r="AT35" s="2"/>
      <c r="AU35" s="2"/>
      <c r="AV35" s="2"/>
    </row>
    <row r="36" spans="1:48" ht="9" customHeight="1" x14ac:dyDescent="0.25">
      <c r="A36" s="5"/>
      <c r="B36" s="21">
        <v>1</v>
      </c>
      <c r="C36" s="21"/>
      <c r="D36" s="21">
        <v>1</v>
      </c>
      <c r="E36" s="2"/>
      <c r="F36" s="2"/>
      <c r="G36" s="2"/>
      <c r="H36" s="2"/>
      <c r="I36" s="2"/>
      <c r="J36" s="2"/>
      <c r="K36" s="2">
        <v>23</v>
      </c>
      <c r="L36" s="2">
        <v>8</v>
      </c>
      <c r="M36" s="68"/>
      <c r="N36" s="8">
        <v>2</v>
      </c>
      <c r="O36" s="64">
        <f>IF(AND($K36=Calc.Top, O$10=Calc.Left),Player.Direction,INDEX(CHOOSE(INDEX(MazeDef,$L36,O$11),Primitives!$C$2:$E$4,Primitives!$C$6:$E$8,Primitives!$C$10:$E$12,Primitives!$C$14:$E$16,Primitives!$C$18:$E$20,Primitives!$C$22:$E$24,Primitives!$C$26:$E$28,Primitives!$C$30:$E$32,Primitives!$C$34:$E$36,Primitives!$C$38:$E$40,Primitives!$C$42:$E$44,Primitives!$C$46:$E$48,Primitives!$C$50:$E$52,Primitives!$C$54:$E$56,Primitives!$C$58:$E$60),$N36,O$13))</f>
        <v>1</v>
      </c>
      <c r="P36" s="64">
        <f>IF(AND($K36=Calc.Top, P$10=Calc.Left),Player.Direction,INDEX(CHOOSE(INDEX(MazeDef,$L36,P$11),Primitives!$C$2:$E$4,Primitives!$C$6:$E$8,Primitives!$C$10:$E$12,Primitives!$C$14:$E$16,Primitives!$C$18:$E$20,Primitives!$C$22:$E$24,Primitives!$C$26:$E$28,Primitives!$C$30:$E$32,Primitives!$C$34:$E$36,Primitives!$C$38:$E$40,Primitives!$C$42:$E$44,Primitives!$C$46:$E$48,Primitives!$C$50:$E$52,Primitives!$C$54:$E$56,Primitives!$C$58:$E$60),$N36,P$13))</f>
        <v>0</v>
      </c>
      <c r="Q36" s="64">
        <f>IF(AND($K36=Calc.Top, Q$10=Calc.Left),Player.Direction,INDEX(CHOOSE(INDEX(MazeDef,$L36,Q$11),Primitives!$C$2:$E$4,Primitives!$C$6:$E$8,Primitives!$C$10:$E$12,Primitives!$C$14:$E$16,Primitives!$C$18:$E$20,Primitives!$C$22:$E$24,Primitives!$C$26:$E$28,Primitives!$C$30:$E$32,Primitives!$C$34:$E$36,Primitives!$C$38:$E$40,Primitives!$C$42:$E$44,Primitives!$C$46:$E$48,Primitives!$C$50:$E$52,Primitives!$C$54:$E$56,Primitives!$C$58:$E$60),$N36,Q$13))</f>
        <v>1</v>
      </c>
      <c r="R36" s="64">
        <f>IF(AND($K36=Calc.Top, R$10=Calc.Left),Player.Direction,INDEX(CHOOSE(INDEX(MazeDef,$L36,R$11),Primitives!$C$2:$E$4,Primitives!$C$6:$E$8,Primitives!$C$10:$E$12,Primitives!$C$14:$E$16,Primitives!$C$18:$E$20,Primitives!$C$22:$E$24,Primitives!$C$26:$E$28,Primitives!$C$30:$E$32,Primitives!$C$34:$E$36,Primitives!$C$38:$E$40,Primitives!$C$42:$E$44,Primitives!$C$46:$E$48,Primitives!$C$50:$E$52,Primitives!$C$54:$E$56,Primitives!$C$58:$E$60),$N36,R$13))</f>
        <v>1</v>
      </c>
      <c r="S36" s="64">
        <f>IF(AND($K36=Calc.Top, S$10=Calc.Left),Player.Direction,INDEX(CHOOSE(INDEX(MazeDef,$L36,S$11),Primitives!$C$2:$E$4,Primitives!$C$6:$E$8,Primitives!$C$10:$E$12,Primitives!$C$14:$E$16,Primitives!$C$18:$E$20,Primitives!$C$22:$E$24,Primitives!$C$26:$E$28,Primitives!$C$30:$E$32,Primitives!$C$34:$E$36,Primitives!$C$38:$E$40,Primitives!$C$42:$E$44,Primitives!$C$46:$E$48,Primitives!$C$50:$E$52,Primitives!$C$54:$E$56,Primitives!$C$58:$E$60),$N36,S$13))</f>
        <v>0</v>
      </c>
      <c r="T36" s="64">
        <f>IF(AND($K36=Calc.Top, T$10=Calc.Left),Player.Direction,INDEX(CHOOSE(INDEX(MazeDef,$L36,T$11),Primitives!$C$2:$E$4,Primitives!$C$6:$E$8,Primitives!$C$10:$E$12,Primitives!$C$14:$E$16,Primitives!$C$18:$E$20,Primitives!$C$22:$E$24,Primitives!$C$26:$E$28,Primitives!$C$30:$E$32,Primitives!$C$34:$E$36,Primitives!$C$38:$E$40,Primitives!$C$42:$E$44,Primitives!$C$46:$E$48,Primitives!$C$50:$E$52,Primitives!$C$54:$E$56,Primitives!$C$58:$E$60),$N36,T$13))</f>
        <v>1</v>
      </c>
      <c r="U36" s="64">
        <f>IF(AND($K36=Calc.Top, U$10=Calc.Left),Player.Direction,INDEX(CHOOSE(INDEX(MazeDef,$L36,U$11),Primitives!$C$2:$E$4,Primitives!$C$6:$E$8,Primitives!$C$10:$E$12,Primitives!$C$14:$E$16,Primitives!$C$18:$E$20,Primitives!$C$22:$E$24,Primitives!$C$26:$E$28,Primitives!$C$30:$E$32,Primitives!$C$34:$E$36,Primitives!$C$38:$E$40,Primitives!$C$42:$E$44,Primitives!$C$46:$E$48,Primitives!$C$50:$E$52,Primitives!$C$54:$E$56,Primitives!$C$58:$E$60),$N36,U$13))</f>
        <v>1</v>
      </c>
      <c r="V36" s="64">
        <f>IF(AND($K36=Calc.Top, V$10=Calc.Left),Player.Direction,INDEX(CHOOSE(INDEX(MazeDef,$L36,V$11),Primitives!$C$2:$E$4,Primitives!$C$6:$E$8,Primitives!$C$10:$E$12,Primitives!$C$14:$E$16,Primitives!$C$18:$E$20,Primitives!$C$22:$E$24,Primitives!$C$26:$E$28,Primitives!$C$30:$E$32,Primitives!$C$34:$E$36,Primitives!$C$38:$E$40,Primitives!$C$42:$E$44,Primitives!$C$46:$E$48,Primitives!$C$50:$E$52,Primitives!$C$54:$E$56,Primitives!$C$58:$E$60),$N36,V$13))</f>
        <v>0</v>
      </c>
      <c r="W36" s="64">
        <f>IF(AND($K36=Calc.Top, W$10=Calc.Left),Player.Direction,INDEX(CHOOSE(INDEX(MazeDef,$L36,W$11),Primitives!$C$2:$E$4,Primitives!$C$6:$E$8,Primitives!$C$10:$E$12,Primitives!$C$14:$E$16,Primitives!$C$18:$E$20,Primitives!$C$22:$E$24,Primitives!$C$26:$E$28,Primitives!$C$30:$E$32,Primitives!$C$34:$E$36,Primitives!$C$38:$E$40,Primitives!$C$42:$E$44,Primitives!$C$46:$E$48,Primitives!$C$50:$E$52,Primitives!$C$54:$E$56,Primitives!$C$58:$E$60),$N36,W$13))</f>
        <v>1</v>
      </c>
      <c r="X36" s="64">
        <f>IF(AND($K36=Calc.Top, X$10=Calc.Left),Player.Direction,INDEX(CHOOSE(INDEX(MazeDef,$L36,X$11),Primitives!$C$2:$E$4,Primitives!$C$6:$E$8,Primitives!$C$10:$E$12,Primitives!$C$14:$E$16,Primitives!$C$18:$E$20,Primitives!$C$22:$E$24,Primitives!$C$26:$E$28,Primitives!$C$30:$E$32,Primitives!$C$34:$E$36,Primitives!$C$38:$E$40,Primitives!$C$42:$E$44,Primitives!$C$46:$E$48,Primitives!$C$50:$E$52,Primitives!$C$54:$E$56,Primitives!$C$58:$E$60),$N36,X$13))</f>
        <v>1</v>
      </c>
      <c r="Y36" s="64">
        <f>IF(AND($K36=Calc.Top, Y$10=Calc.Left),Player.Direction,INDEX(CHOOSE(INDEX(MazeDef,$L36,Y$11),Primitives!$C$2:$E$4,Primitives!$C$6:$E$8,Primitives!$C$10:$E$12,Primitives!$C$14:$E$16,Primitives!$C$18:$E$20,Primitives!$C$22:$E$24,Primitives!$C$26:$E$28,Primitives!$C$30:$E$32,Primitives!$C$34:$E$36,Primitives!$C$38:$E$40,Primitives!$C$42:$E$44,Primitives!$C$46:$E$48,Primitives!$C$50:$E$52,Primitives!$C$54:$E$56,Primitives!$C$58:$E$60),$N36,Y$13))</f>
        <v>0</v>
      </c>
      <c r="Z36" s="64">
        <f>IF(AND($K36=Calc.Top, Z$10=Calc.Left),Player.Direction,INDEX(CHOOSE(INDEX(MazeDef,$L36,Z$11),Primitives!$C$2:$E$4,Primitives!$C$6:$E$8,Primitives!$C$10:$E$12,Primitives!$C$14:$E$16,Primitives!$C$18:$E$20,Primitives!$C$22:$E$24,Primitives!$C$26:$E$28,Primitives!$C$30:$E$32,Primitives!$C$34:$E$36,Primitives!$C$38:$E$40,Primitives!$C$42:$E$44,Primitives!$C$46:$E$48,Primitives!$C$50:$E$52,Primitives!$C$54:$E$56,Primitives!$C$58:$E$60),$N36,Z$13))</f>
        <v>0</v>
      </c>
      <c r="AA36" s="64">
        <f>IF(AND($K36=Calc.Top, AA$10=Calc.Left),Player.Direction,INDEX(CHOOSE(INDEX(MazeDef,$L36,AA$11),Primitives!$C$2:$E$4,Primitives!$C$6:$E$8,Primitives!$C$10:$E$12,Primitives!$C$14:$E$16,Primitives!$C$18:$E$20,Primitives!$C$22:$E$24,Primitives!$C$26:$E$28,Primitives!$C$30:$E$32,Primitives!$C$34:$E$36,Primitives!$C$38:$E$40,Primitives!$C$42:$E$44,Primitives!$C$46:$E$48,Primitives!$C$50:$E$52,Primitives!$C$54:$E$56,Primitives!$C$58:$E$60),$N36,AA$13))</f>
        <v>0</v>
      </c>
      <c r="AB36" s="64">
        <f>IF(AND($K36=Calc.Top, AB$10=Calc.Left),Player.Direction,INDEX(CHOOSE(INDEX(MazeDef,$L36,AB$11),Primitives!$C$2:$E$4,Primitives!$C$6:$E$8,Primitives!$C$10:$E$12,Primitives!$C$14:$E$16,Primitives!$C$18:$E$20,Primitives!$C$22:$E$24,Primitives!$C$26:$E$28,Primitives!$C$30:$E$32,Primitives!$C$34:$E$36,Primitives!$C$38:$E$40,Primitives!$C$42:$E$44,Primitives!$C$46:$E$48,Primitives!$C$50:$E$52,Primitives!$C$54:$E$56,Primitives!$C$58:$E$60),$N36,AB$13))</f>
        <v>0</v>
      </c>
      <c r="AC36" s="64">
        <f>IF(AND($K36=Calc.Top, AC$10=Calc.Left),Player.Direction,INDEX(CHOOSE(INDEX(MazeDef,$L36,AC$11),Primitives!$C$2:$E$4,Primitives!$C$6:$E$8,Primitives!$C$10:$E$12,Primitives!$C$14:$E$16,Primitives!$C$18:$E$20,Primitives!$C$22:$E$24,Primitives!$C$26:$E$28,Primitives!$C$30:$E$32,Primitives!$C$34:$E$36,Primitives!$C$38:$E$40,Primitives!$C$42:$E$44,Primitives!$C$46:$E$48,Primitives!$C$50:$E$52,Primitives!$C$54:$E$56,Primitives!$C$58:$E$60),$N36,AC$13))</f>
        <v>1</v>
      </c>
      <c r="AD36" s="64">
        <f>IF(AND($K36=Calc.Top, AD$10=Calc.Left),Player.Direction,INDEX(CHOOSE(INDEX(MazeDef,$L36,AD$11),Primitives!$C$2:$E$4,Primitives!$C$6:$E$8,Primitives!$C$10:$E$12,Primitives!$C$14:$E$16,Primitives!$C$18:$E$20,Primitives!$C$22:$E$24,Primitives!$C$26:$E$28,Primitives!$C$30:$E$32,Primitives!$C$34:$E$36,Primitives!$C$38:$E$40,Primitives!$C$42:$E$44,Primitives!$C$46:$E$48,Primitives!$C$50:$E$52,Primitives!$C$54:$E$56,Primitives!$C$58:$E$60),$N36,AD$13))</f>
        <v>1</v>
      </c>
      <c r="AE36" s="64">
        <f>IF(AND($K36=Calc.Top, AE$10=Calc.Left),Player.Direction,INDEX(CHOOSE(INDEX(MazeDef,$L36,AE$11),Primitives!$C$2:$E$4,Primitives!$C$6:$E$8,Primitives!$C$10:$E$12,Primitives!$C$14:$E$16,Primitives!$C$18:$E$20,Primitives!$C$22:$E$24,Primitives!$C$26:$E$28,Primitives!$C$30:$E$32,Primitives!$C$34:$E$36,Primitives!$C$38:$E$40,Primitives!$C$42:$E$44,Primitives!$C$46:$E$48,Primitives!$C$50:$E$52,Primitives!$C$54:$E$56,Primitives!$C$58:$E$60),$N36,AE$13))</f>
        <v>0</v>
      </c>
      <c r="AF36" s="64">
        <f>IF(AND($K36=Calc.Top, AF$10=Calc.Left),Player.Direction,INDEX(CHOOSE(INDEX(MazeDef,$L36,AF$11),Primitives!$C$2:$E$4,Primitives!$C$6:$E$8,Primitives!$C$10:$E$12,Primitives!$C$14:$E$16,Primitives!$C$18:$E$20,Primitives!$C$22:$E$24,Primitives!$C$26:$E$28,Primitives!$C$30:$E$32,Primitives!$C$34:$E$36,Primitives!$C$38:$E$40,Primitives!$C$42:$E$44,Primitives!$C$46:$E$48,Primitives!$C$50:$E$52,Primitives!$C$54:$E$56,Primitives!$C$58:$E$60),$N36,AF$13))</f>
        <v>1</v>
      </c>
      <c r="AG36" s="64">
        <f>IF(AND($K36=Calc.Top, AG$10=Calc.Left),Player.Direction,INDEX(CHOOSE(INDEX(MazeDef,$L36,AG$11),Primitives!$C$2:$E$4,Primitives!$C$6:$E$8,Primitives!$C$10:$E$12,Primitives!$C$14:$E$16,Primitives!$C$18:$E$20,Primitives!$C$22:$E$24,Primitives!$C$26:$E$28,Primitives!$C$30:$E$32,Primitives!$C$34:$E$36,Primitives!$C$38:$E$40,Primitives!$C$42:$E$44,Primitives!$C$46:$E$48,Primitives!$C$50:$E$52,Primitives!$C$54:$E$56,Primitives!$C$58:$E$60),$N36,AG$13))</f>
        <v>1</v>
      </c>
      <c r="AH36" s="64">
        <f>IF(AND($K36=Calc.Top, AH$10=Calc.Left),Player.Direction,INDEX(CHOOSE(INDEX(MazeDef,$L36,AH$11),Primitives!$C$2:$E$4,Primitives!$C$6:$E$8,Primitives!$C$10:$E$12,Primitives!$C$14:$E$16,Primitives!$C$18:$E$20,Primitives!$C$22:$E$24,Primitives!$C$26:$E$28,Primitives!$C$30:$E$32,Primitives!$C$34:$E$36,Primitives!$C$38:$E$40,Primitives!$C$42:$E$44,Primitives!$C$46:$E$48,Primitives!$C$50:$E$52,Primitives!$C$54:$E$56,Primitives!$C$58:$E$60),$N36,AH$13))</f>
        <v>0</v>
      </c>
      <c r="AI36" s="64">
        <f>IF(AND($K36=Calc.Top, AI$10=Calc.Left),Player.Direction,INDEX(CHOOSE(INDEX(MazeDef,$L36,AI$11),Primitives!$C$2:$E$4,Primitives!$C$6:$E$8,Primitives!$C$10:$E$12,Primitives!$C$14:$E$16,Primitives!$C$18:$E$20,Primitives!$C$22:$E$24,Primitives!$C$26:$E$28,Primitives!$C$30:$E$32,Primitives!$C$34:$E$36,Primitives!$C$38:$E$40,Primitives!$C$42:$E$44,Primitives!$C$46:$E$48,Primitives!$C$50:$E$52,Primitives!$C$54:$E$56,Primitives!$C$58:$E$60),$N36,AI$13))</f>
        <v>0</v>
      </c>
      <c r="AJ36" s="64">
        <f>IF(AND($K36=Calc.Top, AJ$10=Calc.Left),Player.Direction,INDEX(CHOOSE(INDEX(MazeDef,$L36,AJ$11),Primitives!$C$2:$E$4,Primitives!$C$6:$E$8,Primitives!$C$10:$E$12,Primitives!$C$14:$E$16,Primitives!$C$18:$E$20,Primitives!$C$22:$E$24,Primitives!$C$26:$E$28,Primitives!$C$30:$E$32,Primitives!$C$34:$E$36,Primitives!$C$38:$E$40,Primitives!$C$42:$E$44,Primitives!$C$46:$E$48,Primitives!$C$50:$E$52,Primitives!$C$54:$E$56,Primitives!$C$58:$E$60),$N36,AJ$13))</f>
        <v>0</v>
      </c>
      <c r="AK36" s="64">
        <f>IF(AND($K36=Calc.Top, AK$10=Calc.Left),Player.Direction,INDEX(CHOOSE(INDEX(MazeDef,$L36,AK$11),Primitives!$C$2:$E$4,Primitives!$C$6:$E$8,Primitives!$C$10:$E$12,Primitives!$C$14:$E$16,Primitives!$C$18:$E$20,Primitives!$C$22:$E$24,Primitives!$C$26:$E$28,Primitives!$C$30:$E$32,Primitives!$C$34:$E$36,Primitives!$C$38:$E$40,Primitives!$C$42:$E$44,Primitives!$C$46:$E$48,Primitives!$C$50:$E$52,Primitives!$C$54:$E$56,Primitives!$C$58:$E$60),$N36,AK$13))</f>
        <v>0</v>
      </c>
      <c r="AL36" s="64" t="str">
        <f>IF(AND($K36=Calc.Top, AL$10=Calc.Left),Player.Direction,INDEX(CHOOSE(INDEX(MazeDef,$L36,AL$11),Primitives!$C$2:$E$4,Primitives!$C$6:$E$8,Primitives!$C$10:$E$12,Primitives!$C$14:$E$16,Primitives!$C$18:$E$20,Primitives!$C$22:$E$24,Primitives!$C$26:$E$28,Primitives!$C$30:$E$32,Primitives!$C$34:$E$36,Primitives!$C$38:$E$40,Primitives!$C$42:$E$44,Primitives!$C$46:$E$48,Primitives!$C$50:$E$52,Primitives!$C$54:$E$56,Primitives!$C$58:$E$60),$N36,AL$13))</f>
        <v>Ø</v>
      </c>
      <c r="AM36" s="64">
        <f>IF(AND($K36=Calc.Top, AM$10=Calc.Left),Player.Direction,INDEX(CHOOSE(INDEX(MazeDef,$L36,AM$11),Primitives!$C$2:$E$4,Primitives!$C$6:$E$8,Primitives!$C$10:$E$12,Primitives!$C$14:$E$16,Primitives!$C$18:$E$20,Primitives!$C$22:$E$24,Primitives!$C$26:$E$28,Primitives!$C$30:$E$32,Primitives!$C$34:$E$36,Primitives!$C$38:$E$40,Primitives!$C$42:$E$44,Primitives!$C$46:$E$48,Primitives!$C$50:$E$52,Primitives!$C$54:$E$56,Primitives!$C$58:$E$60),$N36,AM$13))</f>
        <v>0</v>
      </c>
      <c r="AN36" s="64">
        <f>IF(AND($K36=Calc.Top, AN$10=Calc.Left),Player.Direction,INDEX(CHOOSE(INDEX(MazeDef,$L36,AN$11),Primitives!$C$2:$E$4,Primitives!$C$6:$E$8,Primitives!$C$10:$E$12,Primitives!$C$14:$E$16,Primitives!$C$18:$E$20,Primitives!$C$22:$E$24,Primitives!$C$26:$E$28,Primitives!$C$30:$E$32,Primitives!$C$34:$E$36,Primitives!$C$38:$E$40,Primitives!$C$42:$E$44,Primitives!$C$46:$E$48,Primitives!$C$50:$E$52,Primitives!$C$54:$E$56,Primitives!$C$58:$E$60),$N36,AN$13))</f>
        <v>0</v>
      </c>
      <c r="AO36" s="64">
        <f>IF(AND($K36=Calc.Top, AO$10=Calc.Left),Player.Direction,INDEX(CHOOSE(INDEX(MazeDef,$L36,AO$11),Primitives!$C$2:$E$4,Primitives!$C$6:$E$8,Primitives!$C$10:$E$12,Primitives!$C$14:$E$16,Primitives!$C$18:$E$20,Primitives!$C$22:$E$24,Primitives!$C$26:$E$28,Primitives!$C$30:$E$32,Primitives!$C$34:$E$36,Primitives!$C$38:$E$40,Primitives!$C$42:$E$44,Primitives!$C$46:$E$48,Primitives!$C$50:$E$52,Primitives!$C$54:$E$56,Primitives!$C$58:$E$60),$N36,AO$13))</f>
        <v>1</v>
      </c>
      <c r="AP36" s="64">
        <f>IF(AND($K36=Calc.Top, AP$10=Calc.Left),Player.Direction,INDEX(CHOOSE(INDEX(MazeDef,$L36,AP$11),Primitives!$C$2:$E$4,Primitives!$C$6:$E$8,Primitives!$C$10:$E$12,Primitives!$C$14:$E$16,Primitives!$C$18:$E$20,Primitives!$C$22:$E$24,Primitives!$C$26:$E$28,Primitives!$C$30:$E$32,Primitives!$C$34:$E$36,Primitives!$C$38:$E$40,Primitives!$C$42:$E$44,Primitives!$C$46:$E$48,Primitives!$C$50:$E$52,Primitives!$C$54:$E$56,Primitives!$C$58:$E$60),$N36,AP$13))</f>
        <v>1</v>
      </c>
      <c r="AQ36" s="64">
        <f>IF(AND($K36=Calc.Top, AQ$10=Calc.Left),Player.Direction,INDEX(CHOOSE(INDEX(MazeDef,$L36,AQ$11),Primitives!$C$2:$E$4,Primitives!$C$6:$E$8,Primitives!$C$10:$E$12,Primitives!$C$14:$E$16,Primitives!$C$18:$E$20,Primitives!$C$22:$E$24,Primitives!$C$26:$E$28,Primitives!$C$30:$E$32,Primitives!$C$34:$E$36,Primitives!$C$38:$E$40,Primitives!$C$42:$E$44,Primitives!$C$46:$E$48,Primitives!$C$50:$E$52,Primitives!$C$54:$E$56,Primitives!$C$58:$E$60),$N36,AQ$13))</f>
        <v>0</v>
      </c>
      <c r="AR36" s="64">
        <f>IF(AND($K36=Calc.Top, AR$10=Calc.Left),Player.Direction,INDEX(CHOOSE(INDEX(MazeDef,$L36,AR$11),Primitives!$C$2:$E$4,Primitives!$C$6:$E$8,Primitives!$C$10:$E$12,Primitives!$C$14:$E$16,Primitives!$C$18:$E$20,Primitives!$C$22:$E$24,Primitives!$C$26:$E$28,Primitives!$C$30:$E$32,Primitives!$C$34:$E$36,Primitives!$C$38:$E$40,Primitives!$C$42:$E$44,Primitives!$C$46:$E$48,Primitives!$C$50:$E$52,Primitives!$C$54:$E$56,Primitives!$C$58:$E$60),$N36,AR$13))</f>
        <v>1</v>
      </c>
      <c r="AS36" s="2"/>
      <c r="AT36" s="2"/>
      <c r="AU36" s="2"/>
      <c r="AV36" s="2"/>
    </row>
    <row r="37" spans="1:48" ht="9" customHeight="1" x14ac:dyDescent="0.25">
      <c r="A37" s="5"/>
      <c r="B37" s="2"/>
      <c r="C37" s="2"/>
      <c r="D37" s="2"/>
      <c r="E37" s="2"/>
      <c r="F37" s="2"/>
      <c r="G37" s="2"/>
      <c r="H37" s="2"/>
      <c r="I37" s="2"/>
      <c r="J37" s="2"/>
      <c r="K37" s="2">
        <v>24</v>
      </c>
      <c r="L37" s="2">
        <v>8</v>
      </c>
      <c r="M37" s="69"/>
      <c r="N37" s="9">
        <v>3</v>
      </c>
      <c r="O37" s="64">
        <f>IF(AND($K37=Calc.Top, O$10=Calc.Left),Player.Direction,INDEX(CHOOSE(INDEX(MazeDef,$L37,O$11),Primitives!$C$2:$E$4,Primitives!$C$6:$E$8,Primitives!$C$10:$E$12,Primitives!$C$14:$E$16,Primitives!$C$18:$E$20,Primitives!$C$22:$E$24,Primitives!$C$26:$E$28,Primitives!$C$30:$E$32,Primitives!$C$34:$E$36,Primitives!$C$38:$E$40,Primitives!$C$42:$E$44,Primitives!$C$46:$E$48,Primitives!$C$50:$E$52,Primitives!$C$54:$E$56,Primitives!$C$58:$E$60),$N37,O$13))</f>
        <v>1</v>
      </c>
      <c r="P37" s="64">
        <f>IF(AND($K37=Calc.Top, P$10=Calc.Left),Player.Direction,INDEX(CHOOSE(INDEX(MazeDef,$L37,P$11),Primitives!$C$2:$E$4,Primitives!$C$6:$E$8,Primitives!$C$10:$E$12,Primitives!$C$14:$E$16,Primitives!$C$18:$E$20,Primitives!$C$22:$E$24,Primitives!$C$26:$E$28,Primitives!$C$30:$E$32,Primitives!$C$34:$E$36,Primitives!$C$38:$E$40,Primitives!$C$42:$E$44,Primitives!$C$46:$E$48,Primitives!$C$50:$E$52,Primitives!$C$54:$E$56,Primitives!$C$58:$E$60),$N37,P$13))</f>
        <v>0</v>
      </c>
      <c r="Q37" s="64">
        <f>IF(AND($K37=Calc.Top, Q$10=Calc.Left),Player.Direction,INDEX(CHOOSE(INDEX(MazeDef,$L37,Q$11),Primitives!$C$2:$E$4,Primitives!$C$6:$E$8,Primitives!$C$10:$E$12,Primitives!$C$14:$E$16,Primitives!$C$18:$E$20,Primitives!$C$22:$E$24,Primitives!$C$26:$E$28,Primitives!$C$30:$E$32,Primitives!$C$34:$E$36,Primitives!$C$38:$E$40,Primitives!$C$42:$E$44,Primitives!$C$46:$E$48,Primitives!$C$50:$E$52,Primitives!$C$54:$E$56,Primitives!$C$58:$E$60),$N37,Q$13))</f>
        <v>1</v>
      </c>
      <c r="R37" s="64">
        <f>IF(AND($K37=Calc.Top, R$10=Calc.Left),Player.Direction,INDEX(CHOOSE(INDEX(MazeDef,$L37,R$11),Primitives!$C$2:$E$4,Primitives!$C$6:$E$8,Primitives!$C$10:$E$12,Primitives!$C$14:$E$16,Primitives!$C$18:$E$20,Primitives!$C$22:$E$24,Primitives!$C$26:$E$28,Primitives!$C$30:$E$32,Primitives!$C$34:$E$36,Primitives!$C$38:$E$40,Primitives!$C$42:$E$44,Primitives!$C$46:$E$48,Primitives!$C$50:$E$52,Primitives!$C$54:$E$56,Primitives!$C$58:$E$60),$N37,R$13))</f>
        <v>1</v>
      </c>
      <c r="S37" s="64">
        <f>IF(AND($K37=Calc.Top, S$10=Calc.Left),Player.Direction,INDEX(CHOOSE(INDEX(MazeDef,$L37,S$11),Primitives!$C$2:$E$4,Primitives!$C$6:$E$8,Primitives!$C$10:$E$12,Primitives!$C$14:$E$16,Primitives!$C$18:$E$20,Primitives!$C$22:$E$24,Primitives!$C$26:$E$28,Primitives!$C$30:$E$32,Primitives!$C$34:$E$36,Primitives!$C$38:$E$40,Primitives!$C$42:$E$44,Primitives!$C$46:$E$48,Primitives!$C$50:$E$52,Primitives!$C$54:$E$56,Primitives!$C$58:$E$60),$N37,S$13))</f>
        <v>0</v>
      </c>
      <c r="T37" s="64">
        <f>IF(AND($K37=Calc.Top, T$10=Calc.Left),Player.Direction,INDEX(CHOOSE(INDEX(MazeDef,$L37,T$11),Primitives!$C$2:$E$4,Primitives!$C$6:$E$8,Primitives!$C$10:$E$12,Primitives!$C$14:$E$16,Primitives!$C$18:$E$20,Primitives!$C$22:$E$24,Primitives!$C$26:$E$28,Primitives!$C$30:$E$32,Primitives!$C$34:$E$36,Primitives!$C$38:$E$40,Primitives!$C$42:$E$44,Primitives!$C$46:$E$48,Primitives!$C$50:$E$52,Primitives!$C$54:$E$56,Primitives!$C$58:$E$60),$N37,T$13))</f>
        <v>1</v>
      </c>
      <c r="U37" s="64">
        <f>IF(AND($K37=Calc.Top, U$10=Calc.Left),Player.Direction,INDEX(CHOOSE(INDEX(MazeDef,$L37,U$11),Primitives!$C$2:$E$4,Primitives!$C$6:$E$8,Primitives!$C$10:$E$12,Primitives!$C$14:$E$16,Primitives!$C$18:$E$20,Primitives!$C$22:$E$24,Primitives!$C$26:$E$28,Primitives!$C$30:$E$32,Primitives!$C$34:$E$36,Primitives!$C$38:$E$40,Primitives!$C$42:$E$44,Primitives!$C$46:$E$48,Primitives!$C$50:$E$52,Primitives!$C$54:$E$56,Primitives!$C$58:$E$60),$N37,U$13))</f>
        <v>1</v>
      </c>
      <c r="V37" s="64">
        <f>IF(AND($K37=Calc.Top, V$10=Calc.Left),Player.Direction,INDEX(CHOOSE(INDEX(MazeDef,$L37,V$11),Primitives!$C$2:$E$4,Primitives!$C$6:$E$8,Primitives!$C$10:$E$12,Primitives!$C$14:$E$16,Primitives!$C$18:$E$20,Primitives!$C$22:$E$24,Primitives!$C$26:$E$28,Primitives!$C$30:$E$32,Primitives!$C$34:$E$36,Primitives!$C$38:$E$40,Primitives!$C$42:$E$44,Primitives!$C$46:$E$48,Primitives!$C$50:$E$52,Primitives!$C$54:$E$56,Primitives!$C$58:$E$60),$N37,V$13))</f>
        <v>0</v>
      </c>
      <c r="W37" s="64">
        <f>IF(AND($K37=Calc.Top, W$10=Calc.Left),Player.Direction,INDEX(CHOOSE(INDEX(MazeDef,$L37,W$11),Primitives!$C$2:$E$4,Primitives!$C$6:$E$8,Primitives!$C$10:$E$12,Primitives!$C$14:$E$16,Primitives!$C$18:$E$20,Primitives!$C$22:$E$24,Primitives!$C$26:$E$28,Primitives!$C$30:$E$32,Primitives!$C$34:$E$36,Primitives!$C$38:$E$40,Primitives!$C$42:$E$44,Primitives!$C$46:$E$48,Primitives!$C$50:$E$52,Primitives!$C$54:$E$56,Primitives!$C$58:$E$60),$N37,W$13))</f>
        <v>1</v>
      </c>
      <c r="X37" s="64">
        <f>IF(AND($K37=Calc.Top, X$10=Calc.Left),Player.Direction,INDEX(CHOOSE(INDEX(MazeDef,$L37,X$11),Primitives!$C$2:$E$4,Primitives!$C$6:$E$8,Primitives!$C$10:$E$12,Primitives!$C$14:$E$16,Primitives!$C$18:$E$20,Primitives!$C$22:$E$24,Primitives!$C$26:$E$28,Primitives!$C$30:$E$32,Primitives!$C$34:$E$36,Primitives!$C$38:$E$40,Primitives!$C$42:$E$44,Primitives!$C$46:$E$48,Primitives!$C$50:$E$52,Primitives!$C$54:$E$56,Primitives!$C$58:$E$60),$N37,X$13))</f>
        <v>1</v>
      </c>
      <c r="Y37" s="64">
        <f>IF(AND($K37=Calc.Top, Y$10=Calc.Left),Player.Direction,INDEX(CHOOSE(INDEX(MazeDef,$L37,Y$11),Primitives!$C$2:$E$4,Primitives!$C$6:$E$8,Primitives!$C$10:$E$12,Primitives!$C$14:$E$16,Primitives!$C$18:$E$20,Primitives!$C$22:$E$24,Primitives!$C$26:$E$28,Primitives!$C$30:$E$32,Primitives!$C$34:$E$36,Primitives!$C$38:$E$40,Primitives!$C$42:$E$44,Primitives!$C$46:$E$48,Primitives!$C$50:$E$52,Primitives!$C$54:$E$56,Primitives!$C$58:$E$60),$N37,Y$13))</f>
        <v>0</v>
      </c>
      <c r="Z37" s="64">
        <f>IF(AND($K37=Calc.Top, Z$10=Calc.Left),Player.Direction,INDEX(CHOOSE(INDEX(MazeDef,$L37,Z$11),Primitives!$C$2:$E$4,Primitives!$C$6:$E$8,Primitives!$C$10:$E$12,Primitives!$C$14:$E$16,Primitives!$C$18:$E$20,Primitives!$C$22:$E$24,Primitives!$C$26:$E$28,Primitives!$C$30:$E$32,Primitives!$C$34:$E$36,Primitives!$C$38:$E$40,Primitives!$C$42:$E$44,Primitives!$C$46:$E$48,Primitives!$C$50:$E$52,Primitives!$C$54:$E$56,Primitives!$C$58:$E$60),$N37,Z$13))</f>
        <v>1</v>
      </c>
      <c r="AA37" s="64">
        <f>IF(AND($K37=Calc.Top, AA$10=Calc.Left),Player.Direction,INDEX(CHOOSE(INDEX(MazeDef,$L37,AA$11),Primitives!$C$2:$E$4,Primitives!$C$6:$E$8,Primitives!$C$10:$E$12,Primitives!$C$14:$E$16,Primitives!$C$18:$E$20,Primitives!$C$22:$E$24,Primitives!$C$26:$E$28,Primitives!$C$30:$E$32,Primitives!$C$34:$E$36,Primitives!$C$38:$E$40,Primitives!$C$42:$E$44,Primitives!$C$46:$E$48,Primitives!$C$50:$E$52,Primitives!$C$54:$E$56,Primitives!$C$58:$E$60),$N37,AA$13))</f>
        <v>1</v>
      </c>
      <c r="AB37" s="64">
        <f>IF(AND($K37=Calc.Top, AB$10=Calc.Left),Player.Direction,INDEX(CHOOSE(INDEX(MazeDef,$L37,AB$11),Primitives!$C$2:$E$4,Primitives!$C$6:$E$8,Primitives!$C$10:$E$12,Primitives!$C$14:$E$16,Primitives!$C$18:$E$20,Primitives!$C$22:$E$24,Primitives!$C$26:$E$28,Primitives!$C$30:$E$32,Primitives!$C$34:$E$36,Primitives!$C$38:$E$40,Primitives!$C$42:$E$44,Primitives!$C$46:$E$48,Primitives!$C$50:$E$52,Primitives!$C$54:$E$56,Primitives!$C$58:$E$60),$N37,AB$13))</f>
        <v>1</v>
      </c>
      <c r="AC37" s="64">
        <f>IF(AND($K37=Calc.Top, AC$10=Calc.Left),Player.Direction,INDEX(CHOOSE(INDEX(MazeDef,$L37,AC$11),Primitives!$C$2:$E$4,Primitives!$C$6:$E$8,Primitives!$C$10:$E$12,Primitives!$C$14:$E$16,Primitives!$C$18:$E$20,Primitives!$C$22:$E$24,Primitives!$C$26:$E$28,Primitives!$C$30:$E$32,Primitives!$C$34:$E$36,Primitives!$C$38:$E$40,Primitives!$C$42:$E$44,Primitives!$C$46:$E$48,Primitives!$C$50:$E$52,Primitives!$C$54:$E$56,Primitives!$C$58:$E$60),$N37,AC$13))</f>
        <v>1</v>
      </c>
      <c r="AD37" s="64">
        <f>IF(AND($K37=Calc.Top, AD$10=Calc.Left),Player.Direction,INDEX(CHOOSE(INDEX(MazeDef,$L37,AD$11),Primitives!$C$2:$E$4,Primitives!$C$6:$E$8,Primitives!$C$10:$E$12,Primitives!$C$14:$E$16,Primitives!$C$18:$E$20,Primitives!$C$22:$E$24,Primitives!$C$26:$E$28,Primitives!$C$30:$E$32,Primitives!$C$34:$E$36,Primitives!$C$38:$E$40,Primitives!$C$42:$E$44,Primitives!$C$46:$E$48,Primitives!$C$50:$E$52,Primitives!$C$54:$E$56,Primitives!$C$58:$E$60),$N37,AD$13))</f>
        <v>1</v>
      </c>
      <c r="AE37" s="64">
        <f>IF(AND($K37=Calc.Top, AE$10=Calc.Left),Player.Direction,INDEX(CHOOSE(INDEX(MazeDef,$L37,AE$11),Primitives!$C$2:$E$4,Primitives!$C$6:$E$8,Primitives!$C$10:$E$12,Primitives!$C$14:$E$16,Primitives!$C$18:$E$20,Primitives!$C$22:$E$24,Primitives!$C$26:$E$28,Primitives!$C$30:$E$32,Primitives!$C$34:$E$36,Primitives!$C$38:$E$40,Primitives!$C$42:$E$44,Primitives!$C$46:$E$48,Primitives!$C$50:$E$52,Primitives!$C$54:$E$56,Primitives!$C$58:$E$60),$N37,AE$13))</f>
        <v>0</v>
      </c>
      <c r="AF37" s="64">
        <f>IF(AND($K37=Calc.Top, AF$10=Calc.Left),Player.Direction,INDEX(CHOOSE(INDEX(MazeDef,$L37,AF$11),Primitives!$C$2:$E$4,Primitives!$C$6:$E$8,Primitives!$C$10:$E$12,Primitives!$C$14:$E$16,Primitives!$C$18:$E$20,Primitives!$C$22:$E$24,Primitives!$C$26:$E$28,Primitives!$C$30:$E$32,Primitives!$C$34:$E$36,Primitives!$C$38:$E$40,Primitives!$C$42:$E$44,Primitives!$C$46:$E$48,Primitives!$C$50:$E$52,Primitives!$C$54:$E$56,Primitives!$C$58:$E$60),$N37,AF$13))</f>
        <v>1</v>
      </c>
      <c r="AG37" s="64">
        <f>IF(AND($K37=Calc.Top, AG$10=Calc.Left),Player.Direction,INDEX(CHOOSE(INDEX(MazeDef,$L37,AG$11),Primitives!$C$2:$E$4,Primitives!$C$6:$E$8,Primitives!$C$10:$E$12,Primitives!$C$14:$E$16,Primitives!$C$18:$E$20,Primitives!$C$22:$E$24,Primitives!$C$26:$E$28,Primitives!$C$30:$E$32,Primitives!$C$34:$E$36,Primitives!$C$38:$E$40,Primitives!$C$42:$E$44,Primitives!$C$46:$E$48,Primitives!$C$50:$E$52,Primitives!$C$54:$E$56,Primitives!$C$58:$E$60),$N37,AG$13))</f>
        <v>1</v>
      </c>
      <c r="AH37" s="64">
        <f>IF(AND($K37=Calc.Top, AH$10=Calc.Left),Player.Direction,INDEX(CHOOSE(INDEX(MazeDef,$L37,AH$11),Primitives!$C$2:$E$4,Primitives!$C$6:$E$8,Primitives!$C$10:$E$12,Primitives!$C$14:$E$16,Primitives!$C$18:$E$20,Primitives!$C$22:$E$24,Primitives!$C$26:$E$28,Primitives!$C$30:$E$32,Primitives!$C$34:$E$36,Primitives!$C$38:$E$40,Primitives!$C$42:$E$44,Primitives!$C$46:$E$48,Primitives!$C$50:$E$52,Primitives!$C$54:$E$56,Primitives!$C$58:$E$60),$N37,AH$13))</f>
        <v>1</v>
      </c>
      <c r="AI37" s="64">
        <f>IF(AND($K37=Calc.Top, AI$10=Calc.Left),Player.Direction,INDEX(CHOOSE(INDEX(MazeDef,$L37,AI$11),Primitives!$C$2:$E$4,Primitives!$C$6:$E$8,Primitives!$C$10:$E$12,Primitives!$C$14:$E$16,Primitives!$C$18:$E$20,Primitives!$C$22:$E$24,Primitives!$C$26:$E$28,Primitives!$C$30:$E$32,Primitives!$C$34:$E$36,Primitives!$C$38:$E$40,Primitives!$C$42:$E$44,Primitives!$C$46:$E$48,Primitives!$C$50:$E$52,Primitives!$C$54:$E$56,Primitives!$C$58:$E$60),$N37,AI$13))</f>
        <v>1</v>
      </c>
      <c r="AJ37" s="64">
        <f>IF(AND($K37=Calc.Top, AJ$10=Calc.Left),Player.Direction,INDEX(CHOOSE(INDEX(MazeDef,$L37,AJ$11),Primitives!$C$2:$E$4,Primitives!$C$6:$E$8,Primitives!$C$10:$E$12,Primitives!$C$14:$E$16,Primitives!$C$18:$E$20,Primitives!$C$22:$E$24,Primitives!$C$26:$E$28,Primitives!$C$30:$E$32,Primitives!$C$34:$E$36,Primitives!$C$38:$E$40,Primitives!$C$42:$E$44,Primitives!$C$46:$E$48,Primitives!$C$50:$E$52,Primitives!$C$54:$E$56,Primitives!$C$58:$E$60),$N37,AJ$13))</f>
        <v>1</v>
      </c>
      <c r="AK37" s="64">
        <f>IF(AND($K37=Calc.Top, AK$10=Calc.Left),Player.Direction,INDEX(CHOOSE(INDEX(MazeDef,$L37,AK$11),Primitives!$C$2:$E$4,Primitives!$C$6:$E$8,Primitives!$C$10:$E$12,Primitives!$C$14:$E$16,Primitives!$C$18:$E$20,Primitives!$C$22:$E$24,Primitives!$C$26:$E$28,Primitives!$C$30:$E$32,Primitives!$C$34:$E$36,Primitives!$C$38:$E$40,Primitives!$C$42:$E$44,Primitives!$C$46:$E$48,Primitives!$C$50:$E$52,Primitives!$C$54:$E$56,Primitives!$C$58:$E$60),$N37,AK$13))</f>
        <v>0</v>
      </c>
      <c r="AL37" s="64">
        <f>IF(AND($K37=Calc.Top, AL$10=Calc.Left),Player.Direction,INDEX(CHOOSE(INDEX(MazeDef,$L37,AL$11),Primitives!$C$2:$E$4,Primitives!$C$6:$E$8,Primitives!$C$10:$E$12,Primitives!$C$14:$E$16,Primitives!$C$18:$E$20,Primitives!$C$22:$E$24,Primitives!$C$26:$E$28,Primitives!$C$30:$E$32,Primitives!$C$34:$E$36,Primitives!$C$38:$E$40,Primitives!$C$42:$E$44,Primitives!$C$46:$E$48,Primitives!$C$50:$E$52,Primitives!$C$54:$E$56,Primitives!$C$58:$E$60),$N37,AL$13))</f>
        <v>1</v>
      </c>
      <c r="AM37" s="64">
        <f>IF(AND($K37=Calc.Top, AM$10=Calc.Left),Player.Direction,INDEX(CHOOSE(INDEX(MazeDef,$L37,AM$11),Primitives!$C$2:$E$4,Primitives!$C$6:$E$8,Primitives!$C$10:$E$12,Primitives!$C$14:$E$16,Primitives!$C$18:$E$20,Primitives!$C$22:$E$24,Primitives!$C$26:$E$28,Primitives!$C$30:$E$32,Primitives!$C$34:$E$36,Primitives!$C$38:$E$40,Primitives!$C$42:$E$44,Primitives!$C$46:$E$48,Primitives!$C$50:$E$52,Primitives!$C$54:$E$56,Primitives!$C$58:$E$60),$N37,AM$13))</f>
        <v>1</v>
      </c>
      <c r="AN37" s="64">
        <f>IF(AND($K37=Calc.Top, AN$10=Calc.Left),Player.Direction,INDEX(CHOOSE(INDEX(MazeDef,$L37,AN$11),Primitives!$C$2:$E$4,Primitives!$C$6:$E$8,Primitives!$C$10:$E$12,Primitives!$C$14:$E$16,Primitives!$C$18:$E$20,Primitives!$C$22:$E$24,Primitives!$C$26:$E$28,Primitives!$C$30:$E$32,Primitives!$C$34:$E$36,Primitives!$C$38:$E$40,Primitives!$C$42:$E$44,Primitives!$C$46:$E$48,Primitives!$C$50:$E$52,Primitives!$C$54:$E$56,Primitives!$C$58:$E$60),$N37,AN$13))</f>
        <v>0</v>
      </c>
      <c r="AO37" s="64">
        <f>IF(AND($K37=Calc.Top, AO$10=Calc.Left),Player.Direction,INDEX(CHOOSE(INDEX(MazeDef,$L37,AO$11),Primitives!$C$2:$E$4,Primitives!$C$6:$E$8,Primitives!$C$10:$E$12,Primitives!$C$14:$E$16,Primitives!$C$18:$E$20,Primitives!$C$22:$E$24,Primitives!$C$26:$E$28,Primitives!$C$30:$E$32,Primitives!$C$34:$E$36,Primitives!$C$38:$E$40,Primitives!$C$42:$E$44,Primitives!$C$46:$E$48,Primitives!$C$50:$E$52,Primitives!$C$54:$E$56,Primitives!$C$58:$E$60),$N37,AO$13))</f>
        <v>1</v>
      </c>
      <c r="AP37" s="64">
        <f>IF(AND($K37=Calc.Top, AP$10=Calc.Left),Player.Direction,INDEX(CHOOSE(INDEX(MazeDef,$L37,AP$11),Primitives!$C$2:$E$4,Primitives!$C$6:$E$8,Primitives!$C$10:$E$12,Primitives!$C$14:$E$16,Primitives!$C$18:$E$20,Primitives!$C$22:$E$24,Primitives!$C$26:$E$28,Primitives!$C$30:$E$32,Primitives!$C$34:$E$36,Primitives!$C$38:$E$40,Primitives!$C$42:$E$44,Primitives!$C$46:$E$48,Primitives!$C$50:$E$52,Primitives!$C$54:$E$56,Primitives!$C$58:$E$60),$N37,AP$13))</f>
        <v>1</v>
      </c>
      <c r="AQ37" s="64">
        <f>IF(AND($K37=Calc.Top, AQ$10=Calc.Left),Player.Direction,INDEX(CHOOSE(INDEX(MazeDef,$L37,AQ$11),Primitives!$C$2:$E$4,Primitives!$C$6:$E$8,Primitives!$C$10:$E$12,Primitives!$C$14:$E$16,Primitives!$C$18:$E$20,Primitives!$C$22:$E$24,Primitives!$C$26:$E$28,Primitives!$C$30:$E$32,Primitives!$C$34:$E$36,Primitives!$C$38:$E$40,Primitives!$C$42:$E$44,Primitives!$C$46:$E$48,Primitives!$C$50:$E$52,Primitives!$C$54:$E$56,Primitives!$C$58:$E$60),$N37,AQ$13))</f>
        <v>0</v>
      </c>
      <c r="AR37" s="64">
        <f>IF(AND($K37=Calc.Top, AR$10=Calc.Left),Player.Direction,INDEX(CHOOSE(INDEX(MazeDef,$L37,AR$11),Primitives!$C$2:$E$4,Primitives!$C$6:$E$8,Primitives!$C$10:$E$12,Primitives!$C$14:$E$16,Primitives!$C$18:$E$20,Primitives!$C$22:$E$24,Primitives!$C$26:$E$28,Primitives!$C$30:$E$32,Primitives!$C$34:$E$36,Primitives!$C$38:$E$40,Primitives!$C$42:$E$44,Primitives!$C$46:$E$48,Primitives!$C$50:$E$52,Primitives!$C$54:$E$56,Primitives!$C$58:$E$60),$N37,AR$13))</f>
        <v>1</v>
      </c>
      <c r="AS37" s="2"/>
      <c r="AT37" s="2"/>
      <c r="AU37" s="2"/>
      <c r="AV37" s="2"/>
    </row>
    <row r="38" spans="1:48" ht="9" customHeight="1" x14ac:dyDescent="0.25">
      <c r="A38" s="5"/>
      <c r="B38" s="21">
        <v>1</v>
      </c>
      <c r="C38" s="21">
        <v>1</v>
      </c>
      <c r="D38" s="21">
        <v>1</v>
      </c>
      <c r="E38" s="2"/>
      <c r="F38" s="2"/>
      <c r="G38" s="2"/>
      <c r="H38" s="2"/>
      <c r="I38" s="2"/>
      <c r="J38" s="2"/>
      <c r="K38" s="2">
        <v>25</v>
      </c>
      <c r="L38" s="2">
        <v>9</v>
      </c>
      <c r="M38" s="67">
        <v>9</v>
      </c>
      <c r="N38" s="7">
        <v>1</v>
      </c>
      <c r="O38" s="64">
        <f>IF(AND($K38=Calc.Top, O$10=Calc.Left),Player.Direction,INDEX(CHOOSE(INDEX(MazeDef,$L38,O$11),Primitives!$C$2:$E$4,Primitives!$C$6:$E$8,Primitives!$C$10:$E$12,Primitives!$C$14:$E$16,Primitives!$C$18:$E$20,Primitives!$C$22:$E$24,Primitives!$C$26:$E$28,Primitives!$C$30:$E$32,Primitives!$C$34:$E$36,Primitives!$C$38:$E$40,Primitives!$C$42:$E$44,Primitives!$C$46:$E$48,Primitives!$C$50:$E$52,Primitives!$C$54:$E$56,Primitives!$C$58:$E$60),$N38,O$13))</f>
        <v>1</v>
      </c>
      <c r="P38" s="64">
        <f>IF(AND($K38=Calc.Top, P$10=Calc.Left),Player.Direction,INDEX(CHOOSE(INDEX(MazeDef,$L38,P$11),Primitives!$C$2:$E$4,Primitives!$C$6:$E$8,Primitives!$C$10:$E$12,Primitives!$C$14:$E$16,Primitives!$C$18:$E$20,Primitives!$C$22:$E$24,Primitives!$C$26:$E$28,Primitives!$C$30:$E$32,Primitives!$C$34:$E$36,Primitives!$C$38:$E$40,Primitives!$C$42:$E$44,Primitives!$C$46:$E$48,Primitives!$C$50:$E$52,Primitives!$C$54:$E$56,Primitives!$C$58:$E$60),$N38,P$13))</f>
        <v>0</v>
      </c>
      <c r="Q38" s="64">
        <f>IF(AND($K38=Calc.Top, Q$10=Calc.Left),Player.Direction,INDEX(CHOOSE(INDEX(MazeDef,$L38,Q$11),Primitives!$C$2:$E$4,Primitives!$C$6:$E$8,Primitives!$C$10:$E$12,Primitives!$C$14:$E$16,Primitives!$C$18:$E$20,Primitives!$C$22:$E$24,Primitives!$C$26:$E$28,Primitives!$C$30:$E$32,Primitives!$C$34:$E$36,Primitives!$C$38:$E$40,Primitives!$C$42:$E$44,Primitives!$C$46:$E$48,Primitives!$C$50:$E$52,Primitives!$C$54:$E$56,Primitives!$C$58:$E$60),$N38,Q$13))</f>
        <v>1</v>
      </c>
      <c r="R38" s="64">
        <f>IF(AND($K38=Calc.Top, R$10=Calc.Left),Player.Direction,INDEX(CHOOSE(INDEX(MazeDef,$L38,R$11),Primitives!$C$2:$E$4,Primitives!$C$6:$E$8,Primitives!$C$10:$E$12,Primitives!$C$14:$E$16,Primitives!$C$18:$E$20,Primitives!$C$22:$E$24,Primitives!$C$26:$E$28,Primitives!$C$30:$E$32,Primitives!$C$34:$E$36,Primitives!$C$38:$E$40,Primitives!$C$42:$E$44,Primitives!$C$46:$E$48,Primitives!$C$50:$E$52,Primitives!$C$54:$E$56,Primitives!$C$58:$E$60),$N38,R$13))</f>
        <v>1</v>
      </c>
      <c r="S38" s="64">
        <f>IF(AND($K38=Calc.Top, S$10=Calc.Left),Player.Direction,INDEX(CHOOSE(INDEX(MazeDef,$L38,S$11),Primitives!$C$2:$E$4,Primitives!$C$6:$E$8,Primitives!$C$10:$E$12,Primitives!$C$14:$E$16,Primitives!$C$18:$E$20,Primitives!$C$22:$E$24,Primitives!$C$26:$E$28,Primitives!$C$30:$E$32,Primitives!$C$34:$E$36,Primitives!$C$38:$E$40,Primitives!$C$42:$E$44,Primitives!$C$46:$E$48,Primitives!$C$50:$E$52,Primitives!$C$54:$E$56,Primitives!$C$58:$E$60),$N38,S$13))</f>
        <v>0</v>
      </c>
      <c r="T38" s="64">
        <f>IF(AND($K38=Calc.Top, T$10=Calc.Left),Player.Direction,INDEX(CHOOSE(INDEX(MazeDef,$L38,T$11),Primitives!$C$2:$E$4,Primitives!$C$6:$E$8,Primitives!$C$10:$E$12,Primitives!$C$14:$E$16,Primitives!$C$18:$E$20,Primitives!$C$22:$E$24,Primitives!$C$26:$E$28,Primitives!$C$30:$E$32,Primitives!$C$34:$E$36,Primitives!$C$38:$E$40,Primitives!$C$42:$E$44,Primitives!$C$46:$E$48,Primitives!$C$50:$E$52,Primitives!$C$54:$E$56,Primitives!$C$58:$E$60),$N38,T$13))</f>
        <v>1</v>
      </c>
      <c r="U38" s="64">
        <f>IF(AND($K38=Calc.Top, U$10=Calc.Left),Player.Direction,INDEX(CHOOSE(INDEX(MazeDef,$L38,U$11),Primitives!$C$2:$E$4,Primitives!$C$6:$E$8,Primitives!$C$10:$E$12,Primitives!$C$14:$E$16,Primitives!$C$18:$E$20,Primitives!$C$22:$E$24,Primitives!$C$26:$E$28,Primitives!$C$30:$E$32,Primitives!$C$34:$E$36,Primitives!$C$38:$E$40,Primitives!$C$42:$E$44,Primitives!$C$46:$E$48,Primitives!$C$50:$E$52,Primitives!$C$54:$E$56,Primitives!$C$58:$E$60),$N38,U$13))</f>
        <v>1</v>
      </c>
      <c r="V38" s="64">
        <f>IF(AND($K38=Calc.Top, V$10=Calc.Left),Player.Direction,INDEX(CHOOSE(INDEX(MazeDef,$L38,V$11),Primitives!$C$2:$E$4,Primitives!$C$6:$E$8,Primitives!$C$10:$E$12,Primitives!$C$14:$E$16,Primitives!$C$18:$E$20,Primitives!$C$22:$E$24,Primitives!$C$26:$E$28,Primitives!$C$30:$E$32,Primitives!$C$34:$E$36,Primitives!$C$38:$E$40,Primitives!$C$42:$E$44,Primitives!$C$46:$E$48,Primitives!$C$50:$E$52,Primitives!$C$54:$E$56,Primitives!$C$58:$E$60),$N38,V$13))</f>
        <v>0</v>
      </c>
      <c r="W38" s="64">
        <f>IF(AND($K38=Calc.Top, W$10=Calc.Left),Player.Direction,INDEX(CHOOSE(INDEX(MazeDef,$L38,W$11),Primitives!$C$2:$E$4,Primitives!$C$6:$E$8,Primitives!$C$10:$E$12,Primitives!$C$14:$E$16,Primitives!$C$18:$E$20,Primitives!$C$22:$E$24,Primitives!$C$26:$E$28,Primitives!$C$30:$E$32,Primitives!$C$34:$E$36,Primitives!$C$38:$E$40,Primitives!$C$42:$E$44,Primitives!$C$46:$E$48,Primitives!$C$50:$E$52,Primitives!$C$54:$E$56,Primitives!$C$58:$E$60),$N38,W$13))</f>
        <v>1</v>
      </c>
      <c r="X38" s="64">
        <f>IF(AND($K38=Calc.Top, X$10=Calc.Left),Player.Direction,INDEX(CHOOSE(INDEX(MazeDef,$L38,X$11),Primitives!$C$2:$E$4,Primitives!$C$6:$E$8,Primitives!$C$10:$E$12,Primitives!$C$14:$E$16,Primitives!$C$18:$E$20,Primitives!$C$22:$E$24,Primitives!$C$26:$E$28,Primitives!$C$30:$E$32,Primitives!$C$34:$E$36,Primitives!$C$38:$E$40,Primitives!$C$42:$E$44,Primitives!$C$46:$E$48,Primitives!$C$50:$E$52,Primitives!$C$54:$E$56,Primitives!$C$58:$E$60),$N38,X$13))</f>
        <v>1</v>
      </c>
      <c r="Y38" s="64">
        <f>IF(AND($K38=Calc.Top, Y$10=Calc.Left),Player.Direction,INDEX(CHOOSE(INDEX(MazeDef,$L38,Y$11),Primitives!$C$2:$E$4,Primitives!$C$6:$E$8,Primitives!$C$10:$E$12,Primitives!$C$14:$E$16,Primitives!$C$18:$E$20,Primitives!$C$22:$E$24,Primitives!$C$26:$E$28,Primitives!$C$30:$E$32,Primitives!$C$34:$E$36,Primitives!$C$38:$E$40,Primitives!$C$42:$E$44,Primitives!$C$46:$E$48,Primitives!$C$50:$E$52,Primitives!$C$54:$E$56,Primitives!$C$58:$E$60),$N38,Y$13))</f>
        <v>0</v>
      </c>
      <c r="Z38" s="64">
        <f>IF(AND($K38=Calc.Top, Z$10=Calc.Left),Player.Direction,INDEX(CHOOSE(INDEX(MazeDef,$L38,Z$11),Primitives!$C$2:$E$4,Primitives!$C$6:$E$8,Primitives!$C$10:$E$12,Primitives!$C$14:$E$16,Primitives!$C$18:$E$20,Primitives!$C$22:$E$24,Primitives!$C$26:$E$28,Primitives!$C$30:$E$32,Primitives!$C$34:$E$36,Primitives!$C$38:$E$40,Primitives!$C$42:$E$44,Primitives!$C$46:$E$48,Primitives!$C$50:$E$52,Primitives!$C$54:$E$56,Primitives!$C$58:$E$60),$N38,Z$13))</f>
        <v>1</v>
      </c>
      <c r="AA38" s="64">
        <f>IF(AND($K38=Calc.Top, AA$10=Calc.Left),Player.Direction,INDEX(CHOOSE(INDEX(MazeDef,$L38,AA$11),Primitives!$C$2:$E$4,Primitives!$C$6:$E$8,Primitives!$C$10:$E$12,Primitives!$C$14:$E$16,Primitives!$C$18:$E$20,Primitives!$C$22:$E$24,Primitives!$C$26:$E$28,Primitives!$C$30:$E$32,Primitives!$C$34:$E$36,Primitives!$C$38:$E$40,Primitives!$C$42:$E$44,Primitives!$C$46:$E$48,Primitives!$C$50:$E$52,Primitives!$C$54:$E$56,Primitives!$C$58:$E$60),$N38,AA$13))</f>
        <v>1</v>
      </c>
      <c r="AB38" s="64">
        <f>IF(AND($K38=Calc.Top, AB$10=Calc.Left),Player.Direction,INDEX(CHOOSE(INDEX(MazeDef,$L38,AB$11),Primitives!$C$2:$E$4,Primitives!$C$6:$E$8,Primitives!$C$10:$E$12,Primitives!$C$14:$E$16,Primitives!$C$18:$E$20,Primitives!$C$22:$E$24,Primitives!$C$26:$E$28,Primitives!$C$30:$E$32,Primitives!$C$34:$E$36,Primitives!$C$38:$E$40,Primitives!$C$42:$E$44,Primitives!$C$46:$E$48,Primitives!$C$50:$E$52,Primitives!$C$54:$E$56,Primitives!$C$58:$E$60),$N38,AB$13))</f>
        <v>1</v>
      </c>
      <c r="AC38" s="64">
        <f>IF(AND($K38=Calc.Top, AC$10=Calc.Left),Player.Direction,INDEX(CHOOSE(INDEX(MazeDef,$L38,AC$11),Primitives!$C$2:$E$4,Primitives!$C$6:$E$8,Primitives!$C$10:$E$12,Primitives!$C$14:$E$16,Primitives!$C$18:$E$20,Primitives!$C$22:$E$24,Primitives!$C$26:$E$28,Primitives!$C$30:$E$32,Primitives!$C$34:$E$36,Primitives!$C$38:$E$40,Primitives!$C$42:$E$44,Primitives!$C$46:$E$48,Primitives!$C$50:$E$52,Primitives!$C$54:$E$56,Primitives!$C$58:$E$60),$N38,AC$13))</f>
        <v>1</v>
      </c>
      <c r="AD38" s="64">
        <f>IF(AND($K38=Calc.Top, AD$10=Calc.Left),Player.Direction,INDEX(CHOOSE(INDEX(MazeDef,$L38,AD$11),Primitives!$C$2:$E$4,Primitives!$C$6:$E$8,Primitives!$C$10:$E$12,Primitives!$C$14:$E$16,Primitives!$C$18:$E$20,Primitives!$C$22:$E$24,Primitives!$C$26:$E$28,Primitives!$C$30:$E$32,Primitives!$C$34:$E$36,Primitives!$C$38:$E$40,Primitives!$C$42:$E$44,Primitives!$C$46:$E$48,Primitives!$C$50:$E$52,Primitives!$C$54:$E$56,Primitives!$C$58:$E$60),$N38,AD$13))</f>
        <v>1</v>
      </c>
      <c r="AE38" s="64">
        <f>IF(AND($K38=Calc.Top, AE$10=Calc.Left),Player.Direction,INDEX(CHOOSE(INDEX(MazeDef,$L38,AE$11),Primitives!$C$2:$E$4,Primitives!$C$6:$E$8,Primitives!$C$10:$E$12,Primitives!$C$14:$E$16,Primitives!$C$18:$E$20,Primitives!$C$22:$E$24,Primitives!$C$26:$E$28,Primitives!$C$30:$E$32,Primitives!$C$34:$E$36,Primitives!$C$38:$E$40,Primitives!$C$42:$E$44,Primitives!$C$46:$E$48,Primitives!$C$50:$E$52,Primitives!$C$54:$E$56,Primitives!$C$58:$E$60),$N38,AE$13))</f>
        <v>0</v>
      </c>
      <c r="AF38" s="64">
        <f>IF(AND($K38=Calc.Top, AF$10=Calc.Left),Player.Direction,INDEX(CHOOSE(INDEX(MazeDef,$L38,AF$11),Primitives!$C$2:$E$4,Primitives!$C$6:$E$8,Primitives!$C$10:$E$12,Primitives!$C$14:$E$16,Primitives!$C$18:$E$20,Primitives!$C$22:$E$24,Primitives!$C$26:$E$28,Primitives!$C$30:$E$32,Primitives!$C$34:$E$36,Primitives!$C$38:$E$40,Primitives!$C$42:$E$44,Primitives!$C$46:$E$48,Primitives!$C$50:$E$52,Primitives!$C$54:$E$56,Primitives!$C$58:$E$60),$N38,AF$13))</f>
        <v>1</v>
      </c>
      <c r="AG38" s="64">
        <f>IF(AND($K38=Calc.Top, AG$10=Calc.Left),Player.Direction,INDEX(CHOOSE(INDEX(MazeDef,$L38,AG$11),Primitives!$C$2:$E$4,Primitives!$C$6:$E$8,Primitives!$C$10:$E$12,Primitives!$C$14:$E$16,Primitives!$C$18:$E$20,Primitives!$C$22:$E$24,Primitives!$C$26:$E$28,Primitives!$C$30:$E$32,Primitives!$C$34:$E$36,Primitives!$C$38:$E$40,Primitives!$C$42:$E$44,Primitives!$C$46:$E$48,Primitives!$C$50:$E$52,Primitives!$C$54:$E$56,Primitives!$C$58:$E$60),$N38,AG$13))</f>
        <v>1</v>
      </c>
      <c r="AH38" s="64">
        <f>IF(AND($K38=Calc.Top, AH$10=Calc.Left),Player.Direction,INDEX(CHOOSE(INDEX(MazeDef,$L38,AH$11),Primitives!$C$2:$E$4,Primitives!$C$6:$E$8,Primitives!$C$10:$E$12,Primitives!$C$14:$E$16,Primitives!$C$18:$E$20,Primitives!$C$22:$E$24,Primitives!$C$26:$E$28,Primitives!$C$30:$E$32,Primitives!$C$34:$E$36,Primitives!$C$38:$E$40,Primitives!$C$42:$E$44,Primitives!$C$46:$E$48,Primitives!$C$50:$E$52,Primitives!$C$54:$E$56,Primitives!$C$58:$E$60),$N38,AH$13))</f>
        <v>1</v>
      </c>
      <c r="AI38" s="64">
        <f>IF(AND($K38=Calc.Top, AI$10=Calc.Left),Player.Direction,INDEX(CHOOSE(INDEX(MazeDef,$L38,AI$11),Primitives!$C$2:$E$4,Primitives!$C$6:$E$8,Primitives!$C$10:$E$12,Primitives!$C$14:$E$16,Primitives!$C$18:$E$20,Primitives!$C$22:$E$24,Primitives!$C$26:$E$28,Primitives!$C$30:$E$32,Primitives!$C$34:$E$36,Primitives!$C$38:$E$40,Primitives!$C$42:$E$44,Primitives!$C$46:$E$48,Primitives!$C$50:$E$52,Primitives!$C$54:$E$56,Primitives!$C$58:$E$60),$N38,AI$13))</f>
        <v>1</v>
      </c>
      <c r="AJ38" s="64">
        <f>IF(AND($K38=Calc.Top, AJ$10=Calc.Left),Player.Direction,INDEX(CHOOSE(INDEX(MazeDef,$L38,AJ$11),Primitives!$C$2:$E$4,Primitives!$C$6:$E$8,Primitives!$C$10:$E$12,Primitives!$C$14:$E$16,Primitives!$C$18:$E$20,Primitives!$C$22:$E$24,Primitives!$C$26:$E$28,Primitives!$C$30:$E$32,Primitives!$C$34:$E$36,Primitives!$C$38:$E$40,Primitives!$C$42:$E$44,Primitives!$C$46:$E$48,Primitives!$C$50:$E$52,Primitives!$C$54:$E$56,Primitives!$C$58:$E$60),$N38,AJ$13))</f>
        <v>1</v>
      </c>
      <c r="AK38" s="64">
        <f>IF(AND($K38=Calc.Top, AK$10=Calc.Left),Player.Direction,INDEX(CHOOSE(INDEX(MazeDef,$L38,AK$11),Primitives!$C$2:$E$4,Primitives!$C$6:$E$8,Primitives!$C$10:$E$12,Primitives!$C$14:$E$16,Primitives!$C$18:$E$20,Primitives!$C$22:$E$24,Primitives!$C$26:$E$28,Primitives!$C$30:$E$32,Primitives!$C$34:$E$36,Primitives!$C$38:$E$40,Primitives!$C$42:$E$44,Primitives!$C$46:$E$48,Primitives!$C$50:$E$52,Primitives!$C$54:$E$56,Primitives!$C$58:$E$60),$N38,AK$13))</f>
        <v>0</v>
      </c>
      <c r="AL38" s="64">
        <f>IF(AND($K38=Calc.Top, AL$10=Calc.Left),Player.Direction,INDEX(CHOOSE(INDEX(MazeDef,$L38,AL$11),Primitives!$C$2:$E$4,Primitives!$C$6:$E$8,Primitives!$C$10:$E$12,Primitives!$C$14:$E$16,Primitives!$C$18:$E$20,Primitives!$C$22:$E$24,Primitives!$C$26:$E$28,Primitives!$C$30:$E$32,Primitives!$C$34:$E$36,Primitives!$C$38:$E$40,Primitives!$C$42:$E$44,Primitives!$C$46:$E$48,Primitives!$C$50:$E$52,Primitives!$C$54:$E$56,Primitives!$C$58:$E$60),$N38,AL$13))</f>
        <v>1</v>
      </c>
      <c r="AM38" s="64">
        <f>IF(AND($K38=Calc.Top, AM$10=Calc.Left),Player.Direction,INDEX(CHOOSE(INDEX(MazeDef,$L38,AM$11),Primitives!$C$2:$E$4,Primitives!$C$6:$E$8,Primitives!$C$10:$E$12,Primitives!$C$14:$E$16,Primitives!$C$18:$E$20,Primitives!$C$22:$E$24,Primitives!$C$26:$E$28,Primitives!$C$30:$E$32,Primitives!$C$34:$E$36,Primitives!$C$38:$E$40,Primitives!$C$42:$E$44,Primitives!$C$46:$E$48,Primitives!$C$50:$E$52,Primitives!$C$54:$E$56,Primitives!$C$58:$E$60),$N38,AM$13))</f>
        <v>1</v>
      </c>
      <c r="AN38" s="64">
        <f>IF(AND($K38=Calc.Top, AN$10=Calc.Left),Player.Direction,INDEX(CHOOSE(INDEX(MazeDef,$L38,AN$11),Primitives!$C$2:$E$4,Primitives!$C$6:$E$8,Primitives!$C$10:$E$12,Primitives!$C$14:$E$16,Primitives!$C$18:$E$20,Primitives!$C$22:$E$24,Primitives!$C$26:$E$28,Primitives!$C$30:$E$32,Primitives!$C$34:$E$36,Primitives!$C$38:$E$40,Primitives!$C$42:$E$44,Primitives!$C$46:$E$48,Primitives!$C$50:$E$52,Primitives!$C$54:$E$56,Primitives!$C$58:$E$60),$N38,AN$13))</f>
        <v>0</v>
      </c>
      <c r="AO38" s="64">
        <f>IF(AND($K38=Calc.Top, AO$10=Calc.Left),Player.Direction,INDEX(CHOOSE(INDEX(MazeDef,$L38,AO$11),Primitives!$C$2:$E$4,Primitives!$C$6:$E$8,Primitives!$C$10:$E$12,Primitives!$C$14:$E$16,Primitives!$C$18:$E$20,Primitives!$C$22:$E$24,Primitives!$C$26:$E$28,Primitives!$C$30:$E$32,Primitives!$C$34:$E$36,Primitives!$C$38:$E$40,Primitives!$C$42:$E$44,Primitives!$C$46:$E$48,Primitives!$C$50:$E$52,Primitives!$C$54:$E$56,Primitives!$C$58:$E$60),$N38,AO$13))</f>
        <v>1</v>
      </c>
      <c r="AP38" s="64">
        <f>IF(AND($K38=Calc.Top, AP$10=Calc.Left),Player.Direction,INDEX(CHOOSE(INDEX(MazeDef,$L38,AP$11),Primitives!$C$2:$E$4,Primitives!$C$6:$E$8,Primitives!$C$10:$E$12,Primitives!$C$14:$E$16,Primitives!$C$18:$E$20,Primitives!$C$22:$E$24,Primitives!$C$26:$E$28,Primitives!$C$30:$E$32,Primitives!$C$34:$E$36,Primitives!$C$38:$E$40,Primitives!$C$42:$E$44,Primitives!$C$46:$E$48,Primitives!$C$50:$E$52,Primitives!$C$54:$E$56,Primitives!$C$58:$E$60),$N38,AP$13))</f>
        <v>1</v>
      </c>
      <c r="AQ38" s="64">
        <f>IF(AND($K38=Calc.Top, AQ$10=Calc.Left),Player.Direction,INDEX(CHOOSE(INDEX(MazeDef,$L38,AQ$11),Primitives!$C$2:$E$4,Primitives!$C$6:$E$8,Primitives!$C$10:$E$12,Primitives!$C$14:$E$16,Primitives!$C$18:$E$20,Primitives!$C$22:$E$24,Primitives!$C$26:$E$28,Primitives!$C$30:$E$32,Primitives!$C$34:$E$36,Primitives!$C$38:$E$40,Primitives!$C$42:$E$44,Primitives!$C$46:$E$48,Primitives!$C$50:$E$52,Primitives!$C$54:$E$56,Primitives!$C$58:$E$60),$N38,AQ$13))</f>
        <v>0</v>
      </c>
      <c r="AR38" s="64">
        <f>IF(AND($K38=Calc.Top, AR$10=Calc.Left),Player.Direction,INDEX(CHOOSE(INDEX(MazeDef,$L38,AR$11),Primitives!$C$2:$E$4,Primitives!$C$6:$E$8,Primitives!$C$10:$E$12,Primitives!$C$14:$E$16,Primitives!$C$18:$E$20,Primitives!$C$22:$E$24,Primitives!$C$26:$E$28,Primitives!$C$30:$E$32,Primitives!$C$34:$E$36,Primitives!$C$38:$E$40,Primitives!$C$42:$E$44,Primitives!$C$46:$E$48,Primitives!$C$50:$E$52,Primitives!$C$54:$E$56,Primitives!$C$58:$E$60),$N38,AR$13))</f>
        <v>1</v>
      </c>
      <c r="AS38" s="2"/>
      <c r="AT38" s="2"/>
      <c r="AU38" s="2"/>
      <c r="AV38" s="2"/>
    </row>
    <row r="39" spans="1:48" ht="9" customHeight="1" x14ac:dyDescent="0.25">
      <c r="A39" s="5">
        <v>7</v>
      </c>
      <c r="B39" s="21">
        <v>1</v>
      </c>
      <c r="C39" s="21"/>
      <c r="D39" s="21"/>
      <c r="E39" s="2"/>
      <c r="F39" s="2"/>
      <c r="G39" s="2"/>
      <c r="H39" s="2"/>
      <c r="I39" s="2"/>
      <c r="J39" s="2"/>
      <c r="K39" s="2">
        <v>26</v>
      </c>
      <c r="L39" s="2">
        <v>9</v>
      </c>
      <c r="M39" s="68"/>
      <c r="N39" s="8">
        <v>2</v>
      </c>
      <c r="O39" s="64">
        <f>IF(AND($K39=Calc.Top, O$10=Calc.Left),Player.Direction,INDEX(CHOOSE(INDEX(MazeDef,$L39,O$11),Primitives!$C$2:$E$4,Primitives!$C$6:$E$8,Primitives!$C$10:$E$12,Primitives!$C$14:$E$16,Primitives!$C$18:$E$20,Primitives!$C$22:$E$24,Primitives!$C$26:$E$28,Primitives!$C$30:$E$32,Primitives!$C$34:$E$36,Primitives!$C$38:$E$40,Primitives!$C$42:$E$44,Primitives!$C$46:$E$48,Primitives!$C$50:$E$52,Primitives!$C$54:$E$56,Primitives!$C$58:$E$60),$N39,O$13))</f>
        <v>1</v>
      </c>
      <c r="P39" s="64">
        <f>IF(AND($K39=Calc.Top, P$10=Calc.Left),Player.Direction,INDEX(CHOOSE(INDEX(MazeDef,$L39,P$11),Primitives!$C$2:$E$4,Primitives!$C$6:$E$8,Primitives!$C$10:$E$12,Primitives!$C$14:$E$16,Primitives!$C$18:$E$20,Primitives!$C$22:$E$24,Primitives!$C$26:$E$28,Primitives!$C$30:$E$32,Primitives!$C$34:$E$36,Primitives!$C$38:$E$40,Primitives!$C$42:$E$44,Primitives!$C$46:$E$48,Primitives!$C$50:$E$52,Primitives!$C$54:$E$56,Primitives!$C$58:$E$60),$N39,P$13))</f>
        <v>0</v>
      </c>
      <c r="Q39" s="64">
        <f>IF(AND($K39=Calc.Top, Q$10=Calc.Left),Player.Direction,INDEX(CHOOSE(INDEX(MazeDef,$L39,Q$11),Primitives!$C$2:$E$4,Primitives!$C$6:$E$8,Primitives!$C$10:$E$12,Primitives!$C$14:$E$16,Primitives!$C$18:$E$20,Primitives!$C$22:$E$24,Primitives!$C$26:$E$28,Primitives!$C$30:$E$32,Primitives!$C$34:$E$36,Primitives!$C$38:$E$40,Primitives!$C$42:$E$44,Primitives!$C$46:$E$48,Primitives!$C$50:$E$52,Primitives!$C$54:$E$56,Primitives!$C$58:$E$60),$N39,Q$13))</f>
        <v>1</v>
      </c>
      <c r="R39" s="64">
        <f>IF(AND($K39=Calc.Top, R$10=Calc.Left),Player.Direction,INDEX(CHOOSE(INDEX(MazeDef,$L39,R$11),Primitives!$C$2:$E$4,Primitives!$C$6:$E$8,Primitives!$C$10:$E$12,Primitives!$C$14:$E$16,Primitives!$C$18:$E$20,Primitives!$C$22:$E$24,Primitives!$C$26:$E$28,Primitives!$C$30:$E$32,Primitives!$C$34:$E$36,Primitives!$C$38:$E$40,Primitives!$C$42:$E$44,Primitives!$C$46:$E$48,Primitives!$C$50:$E$52,Primitives!$C$54:$E$56,Primitives!$C$58:$E$60),$N39,R$13))</f>
        <v>1</v>
      </c>
      <c r="S39" s="64">
        <f>IF(AND($K39=Calc.Top, S$10=Calc.Left),Player.Direction,INDEX(CHOOSE(INDEX(MazeDef,$L39,S$11),Primitives!$C$2:$E$4,Primitives!$C$6:$E$8,Primitives!$C$10:$E$12,Primitives!$C$14:$E$16,Primitives!$C$18:$E$20,Primitives!$C$22:$E$24,Primitives!$C$26:$E$28,Primitives!$C$30:$E$32,Primitives!$C$34:$E$36,Primitives!$C$38:$E$40,Primitives!$C$42:$E$44,Primitives!$C$46:$E$48,Primitives!$C$50:$E$52,Primitives!$C$54:$E$56,Primitives!$C$58:$E$60),$N39,S$13))</f>
        <v>0</v>
      </c>
      <c r="T39" s="64">
        <f>IF(AND($K39=Calc.Top, T$10=Calc.Left),Player.Direction,INDEX(CHOOSE(INDEX(MazeDef,$L39,T$11),Primitives!$C$2:$E$4,Primitives!$C$6:$E$8,Primitives!$C$10:$E$12,Primitives!$C$14:$E$16,Primitives!$C$18:$E$20,Primitives!$C$22:$E$24,Primitives!$C$26:$E$28,Primitives!$C$30:$E$32,Primitives!$C$34:$E$36,Primitives!$C$38:$E$40,Primitives!$C$42:$E$44,Primitives!$C$46:$E$48,Primitives!$C$50:$E$52,Primitives!$C$54:$E$56,Primitives!$C$58:$E$60),$N39,T$13))</f>
        <v>0</v>
      </c>
      <c r="U39" s="64">
        <f>IF(AND($K39=Calc.Top, U$10=Calc.Left),Player.Direction,INDEX(CHOOSE(INDEX(MazeDef,$L39,U$11),Primitives!$C$2:$E$4,Primitives!$C$6:$E$8,Primitives!$C$10:$E$12,Primitives!$C$14:$E$16,Primitives!$C$18:$E$20,Primitives!$C$22:$E$24,Primitives!$C$26:$E$28,Primitives!$C$30:$E$32,Primitives!$C$34:$E$36,Primitives!$C$38:$E$40,Primitives!$C$42:$E$44,Primitives!$C$46:$E$48,Primitives!$C$50:$E$52,Primitives!$C$54:$E$56,Primitives!$C$58:$E$60),$N39,U$13))</f>
        <v>0</v>
      </c>
      <c r="V39" s="64">
        <f>IF(AND($K39=Calc.Top, V$10=Calc.Left),Player.Direction,INDEX(CHOOSE(INDEX(MazeDef,$L39,V$11),Primitives!$C$2:$E$4,Primitives!$C$6:$E$8,Primitives!$C$10:$E$12,Primitives!$C$14:$E$16,Primitives!$C$18:$E$20,Primitives!$C$22:$E$24,Primitives!$C$26:$E$28,Primitives!$C$30:$E$32,Primitives!$C$34:$E$36,Primitives!$C$38:$E$40,Primitives!$C$42:$E$44,Primitives!$C$46:$E$48,Primitives!$C$50:$E$52,Primitives!$C$54:$E$56,Primitives!$C$58:$E$60),$N39,V$13))</f>
        <v>0</v>
      </c>
      <c r="W39" s="64">
        <f>IF(AND($K39=Calc.Top, W$10=Calc.Left),Player.Direction,INDEX(CHOOSE(INDEX(MazeDef,$L39,W$11),Primitives!$C$2:$E$4,Primitives!$C$6:$E$8,Primitives!$C$10:$E$12,Primitives!$C$14:$E$16,Primitives!$C$18:$E$20,Primitives!$C$22:$E$24,Primitives!$C$26:$E$28,Primitives!$C$30:$E$32,Primitives!$C$34:$E$36,Primitives!$C$38:$E$40,Primitives!$C$42:$E$44,Primitives!$C$46:$E$48,Primitives!$C$50:$E$52,Primitives!$C$54:$E$56,Primitives!$C$58:$E$60),$N39,W$13))</f>
        <v>1</v>
      </c>
      <c r="X39" s="64">
        <f>IF(AND($K39=Calc.Top, X$10=Calc.Left),Player.Direction,INDEX(CHOOSE(INDEX(MazeDef,$L39,X$11),Primitives!$C$2:$E$4,Primitives!$C$6:$E$8,Primitives!$C$10:$E$12,Primitives!$C$14:$E$16,Primitives!$C$18:$E$20,Primitives!$C$22:$E$24,Primitives!$C$26:$E$28,Primitives!$C$30:$E$32,Primitives!$C$34:$E$36,Primitives!$C$38:$E$40,Primitives!$C$42:$E$44,Primitives!$C$46:$E$48,Primitives!$C$50:$E$52,Primitives!$C$54:$E$56,Primitives!$C$58:$E$60),$N39,X$13))</f>
        <v>1</v>
      </c>
      <c r="Y39" s="64">
        <f>IF(AND($K39=Calc.Top, Y$10=Calc.Left),Player.Direction,INDEX(CHOOSE(INDEX(MazeDef,$L39,Y$11),Primitives!$C$2:$E$4,Primitives!$C$6:$E$8,Primitives!$C$10:$E$12,Primitives!$C$14:$E$16,Primitives!$C$18:$E$20,Primitives!$C$22:$E$24,Primitives!$C$26:$E$28,Primitives!$C$30:$E$32,Primitives!$C$34:$E$36,Primitives!$C$38:$E$40,Primitives!$C$42:$E$44,Primitives!$C$46:$E$48,Primitives!$C$50:$E$52,Primitives!$C$54:$E$56,Primitives!$C$58:$E$60),$N39,Y$13))</f>
        <v>0</v>
      </c>
      <c r="Z39" s="64">
        <f>IF(AND($K39=Calc.Top, Z$10=Calc.Left),Player.Direction,INDEX(CHOOSE(INDEX(MazeDef,$L39,Z$11),Primitives!$C$2:$E$4,Primitives!$C$6:$E$8,Primitives!$C$10:$E$12,Primitives!$C$14:$E$16,Primitives!$C$18:$E$20,Primitives!$C$22:$E$24,Primitives!$C$26:$E$28,Primitives!$C$30:$E$32,Primitives!$C$34:$E$36,Primitives!$C$38:$E$40,Primitives!$C$42:$E$44,Primitives!$C$46:$E$48,Primitives!$C$50:$E$52,Primitives!$C$54:$E$56,Primitives!$C$58:$E$60),$N39,Z$13))</f>
        <v>0</v>
      </c>
      <c r="AA39" s="64">
        <f>IF(AND($K39=Calc.Top, AA$10=Calc.Left),Player.Direction,INDEX(CHOOSE(INDEX(MazeDef,$L39,AA$11),Primitives!$C$2:$E$4,Primitives!$C$6:$E$8,Primitives!$C$10:$E$12,Primitives!$C$14:$E$16,Primitives!$C$18:$E$20,Primitives!$C$22:$E$24,Primitives!$C$26:$E$28,Primitives!$C$30:$E$32,Primitives!$C$34:$E$36,Primitives!$C$38:$E$40,Primitives!$C$42:$E$44,Primitives!$C$46:$E$48,Primitives!$C$50:$E$52,Primitives!$C$54:$E$56,Primitives!$C$58:$E$60),$N39,AA$13))</f>
        <v>0</v>
      </c>
      <c r="AB39" s="64">
        <f>IF(AND($K39=Calc.Top, AB$10=Calc.Left),Player.Direction,INDEX(CHOOSE(INDEX(MazeDef,$L39,AB$11),Primitives!$C$2:$E$4,Primitives!$C$6:$E$8,Primitives!$C$10:$E$12,Primitives!$C$14:$E$16,Primitives!$C$18:$E$20,Primitives!$C$22:$E$24,Primitives!$C$26:$E$28,Primitives!$C$30:$E$32,Primitives!$C$34:$E$36,Primitives!$C$38:$E$40,Primitives!$C$42:$E$44,Primitives!$C$46:$E$48,Primitives!$C$50:$E$52,Primitives!$C$54:$E$56,Primitives!$C$58:$E$60),$N39,AB$13))</f>
        <v>0</v>
      </c>
      <c r="AC39" s="64">
        <f>IF(AND($K39=Calc.Top, AC$10=Calc.Left),Player.Direction,INDEX(CHOOSE(INDEX(MazeDef,$L39,AC$11),Primitives!$C$2:$E$4,Primitives!$C$6:$E$8,Primitives!$C$10:$E$12,Primitives!$C$14:$E$16,Primitives!$C$18:$E$20,Primitives!$C$22:$E$24,Primitives!$C$26:$E$28,Primitives!$C$30:$E$32,Primitives!$C$34:$E$36,Primitives!$C$38:$E$40,Primitives!$C$42:$E$44,Primitives!$C$46:$E$48,Primitives!$C$50:$E$52,Primitives!$C$54:$E$56,Primitives!$C$58:$E$60),$N39,AC$13))</f>
        <v>0</v>
      </c>
      <c r="AD39" s="64">
        <f>IF(AND($K39=Calc.Top, AD$10=Calc.Left),Player.Direction,INDEX(CHOOSE(INDEX(MazeDef,$L39,AD$11),Primitives!$C$2:$E$4,Primitives!$C$6:$E$8,Primitives!$C$10:$E$12,Primitives!$C$14:$E$16,Primitives!$C$18:$E$20,Primitives!$C$22:$E$24,Primitives!$C$26:$E$28,Primitives!$C$30:$E$32,Primitives!$C$34:$E$36,Primitives!$C$38:$E$40,Primitives!$C$42:$E$44,Primitives!$C$46:$E$48,Primitives!$C$50:$E$52,Primitives!$C$54:$E$56,Primitives!$C$58:$E$60),$N39,AD$13))</f>
        <v>0</v>
      </c>
      <c r="AE39" s="64">
        <f>IF(AND($K39=Calc.Top, AE$10=Calc.Left),Player.Direction,INDEX(CHOOSE(INDEX(MazeDef,$L39,AE$11),Primitives!$C$2:$E$4,Primitives!$C$6:$E$8,Primitives!$C$10:$E$12,Primitives!$C$14:$E$16,Primitives!$C$18:$E$20,Primitives!$C$22:$E$24,Primitives!$C$26:$E$28,Primitives!$C$30:$E$32,Primitives!$C$34:$E$36,Primitives!$C$38:$E$40,Primitives!$C$42:$E$44,Primitives!$C$46:$E$48,Primitives!$C$50:$E$52,Primitives!$C$54:$E$56,Primitives!$C$58:$E$60),$N39,AE$13))</f>
        <v>0</v>
      </c>
      <c r="AF39" s="64">
        <f>IF(AND($K39=Calc.Top, AF$10=Calc.Left),Player.Direction,INDEX(CHOOSE(INDEX(MazeDef,$L39,AF$11),Primitives!$C$2:$E$4,Primitives!$C$6:$E$8,Primitives!$C$10:$E$12,Primitives!$C$14:$E$16,Primitives!$C$18:$E$20,Primitives!$C$22:$E$24,Primitives!$C$26:$E$28,Primitives!$C$30:$E$32,Primitives!$C$34:$E$36,Primitives!$C$38:$E$40,Primitives!$C$42:$E$44,Primitives!$C$46:$E$48,Primitives!$C$50:$E$52,Primitives!$C$54:$E$56,Primitives!$C$58:$E$60),$N39,AF$13))</f>
        <v>0</v>
      </c>
      <c r="AG39" s="64">
        <f>IF(AND($K39=Calc.Top, AG$10=Calc.Left),Player.Direction,INDEX(CHOOSE(INDEX(MazeDef,$L39,AG$11),Primitives!$C$2:$E$4,Primitives!$C$6:$E$8,Primitives!$C$10:$E$12,Primitives!$C$14:$E$16,Primitives!$C$18:$E$20,Primitives!$C$22:$E$24,Primitives!$C$26:$E$28,Primitives!$C$30:$E$32,Primitives!$C$34:$E$36,Primitives!$C$38:$E$40,Primitives!$C$42:$E$44,Primitives!$C$46:$E$48,Primitives!$C$50:$E$52,Primitives!$C$54:$E$56,Primitives!$C$58:$E$60),$N39,AG$13))</f>
        <v>0</v>
      </c>
      <c r="AH39" s="64">
        <f>IF(AND($K39=Calc.Top, AH$10=Calc.Left),Player.Direction,INDEX(CHOOSE(INDEX(MazeDef,$L39,AH$11),Primitives!$C$2:$E$4,Primitives!$C$6:$E$8,Primitives!$C$10:$E$12,Primitives!$C$14:$E$16,Primitives!$C$18:$E$20,Primitives!$C$22:$E$24,Primitives!$C$26:$E$28,Primitives!$C$30:$E$32,Primitives!$C$34:$E$36,Primitives!$C$38:$E$40,Primitives!$C$42:$E$44,Primitives!$C$46:$E$48,Primitives!$C$50:$E$52,Primitives!$C$54:$E$56,Primitives!$C$58:$E$60),$N39,AH$13))</f>
        <v>0</v>
      </c>
      <c r="AI39" s="64">
        <f>IF(AND($K39=Calc.Top, AI$10=Calc.Left),Player.Direction,INDEX(CHOOSE(INDEX(MazeDef,$L39,AI$11),Primitives!$C$2:$E$4,Primitives!$C$6:$E$8,Primitives!$C$10:$E$12,Primitives!$C$14:$E$16,Primitives!$C$18:$E$20,Primitives!$C$22:$E$24,Primitives!$C$26:$E$28,Primitives!$C$30:$E$32,Primitives!$C$34:$E$36,Primitives!$C$38:$E$40,Primitives!$C$42:$E$44,Primitives!$C$46:$E$48,Primitives!$C$50:$E$52,Primitives!$C$54:$E$56,Primitives!$C$58:$E$60),$N39,AI$13))</f>
        <v>1</v>
      </c>
      <c r="AJ39" s="64">
        <f>IF(AND($K39=Calc.Top, AJ$10=Calc.Left),Player.Direction,INDEX(CHOOSE(INDEX(MazeDef,$L39,AJ$11),Primitives!$C$2:$E$4,Primitives!$C$6:$E$8,Primitives!$C$10:$E$12,Primitives!$C$14:$E$16,Primitives!$C$18:$E$20,Primitives!$C$22:$E$24,Primitives!$C$26:$E$28,Primitives!$C$30:$E$32,Primitives!$C$34:$E$36,Primitives!$C$38:$E$40,Primitives!$C$42:$E$44,Primitives!$C$46:$E$48,Primitives!$C$50:$E$52,Primitives!$C$54:$E$56,Primitives!$C$58:$E$60),$N39,AJ$13))</f>
        <v>1</v>
      </c>
      <c r="AK39" s="64">
        <f>IF(AND($K39=Calc.Top, AK$10=Calc.Left),Player.Direction,INDEX(CHOOSE(INDEX(MazeDef,$L39,AK$11),Primitives!$C$2:$E$4,Primitives!$C$6:$E$8,Primitives!$C$10:$E$12,Primitives!$C$14:$E$16,Primitives!$C$18:$E$20,Primitives!$C$22:$E$24,Primitives!$C$26:$E$28,Primitives!$C$30:$E$32,Primitives!$C$34:$E$36,Primitives!$C$38:$E$40,Primitives!$C$42:$E$44,Primitives!$C$46:$E$48,Primitives!$C$50:$E$52,Primitives!$C$54:$E$56,Primitives!$C$58:$E$60),$N39,AK$13))</f>
        <v>0</v>
      </c>
      <c r="AL39" s="64">
        <f>IF(AND($K39=Calc.Top, AL$10=Calc.Left),Player.Direction,INDEX(CHOOSE(INDEX(MazeDef,$L39,AL$11),Primitives!$C$2:$E$4,Primitives!$C$6:$E$8,Primitives!$C$10:$E$12,Primitives!$C$14:$E$16,Primitives!$C$18:$E$20,Primitives!$C$22:$E$24,Primitives!$C$26:$E$28,Primitives!$C$30:$E$32,Primitives!$C$34:$E$36,Primitives!$C$38:$E$40,Primitives!$C$42:$E$44,Primitives!$C$46:$E$48,Primitives!$C$50:$E$52,Primitives!$C$54:$E$56,Primitives!$C$58:$E$60),$N39,AL$13))</f>
        <v>0</v>
      </c>
      <c r="AM39" s="64">
        <f>IF(AND($K39=Calc.Top, AM$10=Calc.Left),Player.Direction,INDEX(CHOOSE(INDEX(MazeDef,$L39,AM$11),Primitives!$C$2:$E$4,Primitives!$C$6:$E$8,Primitives!$C$10:$E$12,Primitives!$C$14:$E$16,Primitives!$C$18:$E$20,Primitives!$C$22:$E$24,Primitives!$C$26:$E$28,Primitives!$C$30:$E$32,Primitives!$C$34:$E$36,Primitives!$C$38:$E$40,Primitives!$C$42:$E$44,Primitives!$C$46:$E$48,Primitives!$C$50:$E$52,Primitives!$C$54:$E$56,Primitives!$C$58:$E$60),$N39,AM$13))</f>
        <v>0</v>
      </c>
      <c r="AN39" s="64">
        <f>IF(AND($K39=Calc.Top, AN$10=Calc.Left),Player.Direction,INDEX(CHOOSE(INDEX(MazeDef,$L39,AN$11),Primitives!$C$2:$E$4,Primitives!$C$6:$E$8,Primitives!$C$10:$E$12,Primitives!$C$14:$E$16,Primitives!$C$18:$E$20,Primitives!$C$22:$E$24,Primitives!$C$26:$E$28,Primitives!$C$30:$E$32,Primitives!$C$34:$E$36,Primitives!$C$38:$E$40,Primitives!$C$42:$E$44,Primitives!$C$46:$E$48,Primitives!$C$50:$E$52,Primitives!$C$54:$E$56,Primitives!$C$58:$E$60),$N39,AN$13))</f>
        <v>0</v>
      </c>
      <c r="AO39" s="64">
        <f>IF(AND($K39=Calc.Top, AO$10=Calc.Left),Player.Direction,INDEX(CHOOSE(INDEX(MazeDef,$L39,AO$11),Primitives!$C$2:$E$4,Primitives!$C$6:$E$8,Primitives!$C$10:$E$12,Primitives!$C$14:$E$16,Primitives!$C$18:$E$20,Primitives!$C$22:$E$24,Primitives!$C$26:$E$28,Primitives!$C$30:$E$32,Primitives!$C$34:$E$36,Primitives!$C$38:$E$40,Primitives!$C$42:$E$44,Primitives!$C$46:$E$48,Primitives!$C$50:$E$52,Primitives!$C$54:$E$56,Primitives!$C$58:$E$60),$N39,AO$13))</f>
        <v>1</v>
      </c>
      <c r="AP39" s="64">
        <f>IF(AND($K39=Calc.Top, AP$10=Calc.Left),Player.Direction,INDEX(CHOOSE(INDEX(MazeDef,$L39,AP$11),Primitives!$C$2:$E$4,Primitives!$C$6:$E$8,Primitives!$C$10:$E$12,Primitives!$C$14:$E$16,Primitives!$C$18:$E$20,Primitives!$C$22:$E$24,Primitives!$C$26:$E$28,Primitives!$C$30:$E$32,Primitives!$C$34:$E$36,Primitives!$C$38:$E$40,Primitives!$C$42:$E$44,Primitives!$C$46:$E$48,Primitives!$C$50:$E$52,Primitives!$C$54:$E$56,Primitives!$C$58:$E$60),$N39,AP$13))</f>
        <v>1</v>
      </c>
      <c r="AQ39" s="64">
        <f>IF(AND($K39=Calc.Top, AQ$10=Calc.Left),Player.Direction,INDEX(CHOOSE(INDEX(MazeDef,$L39,AQ$11),Primitives!$C$2:$E$4,Primitives!$C$6:$E$8,Primitives!$C$10:$E$12,Primitives!$C$14:$E$16,Primitives!$C$18:$E$20,Primitives!$C$22:$E$24,Primitives!$C$26:$E$28,Primitives!$C$30:$E$32,Primitives!$C$34:$E$36,Primitives!$C$38:$E$40,Primitives!$C$42:$E$44,Primitives!$C$46:$E$48,Primitives!$C$50:$E$52,Primitives!$C$54:$E$56,Primitives!$C$58:$E$60),$N39,AQ$13))</f>
        <v>0</v>
      </c>
      <c r="AR39" s="64">
        <f>IF(AND($K39=Calc.Top, AR$10=Calc.Left),Player.Direction,INDEX(CHOOSE(INDEX(MazeDef,$L39,AR$11),Primitives!$C$2:$E$4,Primitives!$C$6:$E$8,Primitives!$C$10:$E$12,Primitives!$C$14:$E$16,Primitives!$C$18:$E$20,Primitives!$C$22:$E$24,Primitives!$C$26:$E$28,Primitives!$C$30:$E$32,Primitives!$C$34:$E$36,Primitives!$C$38:$E$40,Primitives!$C$42:$E$44,Primitives!$C$46:$E$48,Primitives!$C$50:$E$52,Primitives!$C$54:$E$56,Primitives!$C$58:$E$60),$N39,AR$13))</f>
        <v>1</v>
      </c>
      <c r="AS39" s="2"/>
      <c r="AT39" s="2"/>
      <c r="AU39" s="2"/>
      <c r="AV39" s="2"/>
    </row>
    <row r="40" spans="1:48" ht="9" customHeight="1" x14ac:dyDescent="0.25">
      <c r="A40" s="5"/>
      <c r="B40" s="21">
        <v>1</v>
      </c>
      <c r="C40" s="21"/>
      <c r="D40" s="21">
        <v>1</v>
      </c>
      <c r="E40" s="2"/>
      <c r="F40" s="2"/>
      <c r="G40" s="2"/>
      <c r="H40" s="2"/>
      <c r="I40" s="2"/>
      <c r="J40" s="2"/>
      <c r="K40" s="2">
        <v>27</v>
      </c>
      <c r="L40" s="2">
        <v>9</v>
      </c>
      <c r="M40" s="69"/>
      <c r="N40" s="9">
        <v>3</v>
      </c>
      <c r="O40" s="64">
        <f>IF(AND($K40=Calc.Top, O$10=Calc.Left),Player.Direction,INDEX(CHOOSE(INDEX(MazeDef,$L40,O$11),Primitives!$C$2:$E$4,Primitives!$C$6:$E$8,Primitives!$C$10:$E$12,Primitives!$C$14:$E$16,Primitives!$C$18:$E$20,Primitives!$C$22:$E$24,Primitives!$C$26:$E$28,Primitives!$C$30:$E$32,Primitives!$C$34:$E$36,Primitives!$C$38:$E$40,Primitives!$C$42:$E$44,Primitives!$C$46:$E$48,Primitives!$C$50:$E$52,Primitives!$C$54:$E$56,Primitives!$C$58:$E$60),$N40,O$13))</f>
        <v>1</v>
      </c>
      <c r="P40" s="64">
        <f>IF(AND($K40=Calc.Top, P$10=Calc.Left),Player.Direction,INDEX(CHOOSE(INDEX(MazeDef,$L40,P$11),Primitives!$C$2:$E$4,Primitives!$C$6:$E$8,Primitives!$C$10:$E$12,Primitives!$C$14:$E$16,Primitives!$C$18:$E$20,Primitives!$C$22:$E$24,Primitives!$C$26:$E$28,Primitives!$C$30:$E$32,Primitives!$C$34:$E$36,Primitives!$C$38:$E$40,Primitives!$C$42:$E$44,Primitives!$C$46:$E$48,Primitives!$C$50:$E$52,Primitives!$C$54:$E$56,Primitives!$C$58:$E$60),$N40,P$13))</f>
        <v>0</v>
      </c>
      <c r="Q40" s="64">
        <f>IF(AND($K40=Calc.Top, Q$10=Calc.Left),Player.Direction,INDEX(CHOOSE(INDEX(MazeDef,$L40,Q$11),Primitives!$C$2:$E$4,Primitives!$C$6:$E$8,Primitives!$C$10:$E$12,Primitives!$C$14:$E$16,Primitives!$C$18:$E$20,Primitives!$C$22:$E$24,Primitives!$C$26:$E$28,Primitives!$C$30:$E$32,Primitives!$C$34:$E$36,Primitives!$C$38:$E$40,Primitives!$C$42:$E$44,Primitives!$C$46:$E$48,Primitives!$C$50:$E$52,Primitives!$C$54:$E$56,Primitives!$C$58:$E$60),$N40,Q$13))</f>
        <v>1</v>
      </c>
      <c r="R40" s="64">
        <f>IF(AND($K40=Calc.Top, R$10=Calc.Left),Player.Direction,INDEX(CHOOSE(INDEX(MazeDef,$L40,R$11),Primitives!$C$2:$E$4,Primitives!$C$6:$E$8,Primitives!$C$10:$E$12,Primitives!$C$14:$E$16,Primitives!$C$18:$E$20,Primitives!$C$22:$E$24,Primitives!$C$26:$E$28,Primitives!$C$30:$E$32,Primitives!$C$34:$E$36,Primitives!$C$38:$E$40,Primitives!$C$42:$E$44,Primitives!$C$46:$E$48,Primitives!$C$50:$E$52,Primitives!$C$54:$E$56,Primitives!$C$58:$E$60),$N40,R$13))</f>
        <v>1</v>
      </c>
      <c r="S40" s="64">
        <f>IF(AND($K40=Calc.Top, S$10=Calc.Left),Player.Direction,INDEX(CHOOSE(INDEX(MazeDef,$L40,S$11),Primitives!$C$2:$E$4,Primitives!$C$6:$E$8,Primitives!$C$10:$E$12,Primitives!$C$14:$E$16,Primitives!$C$18:$E$20,Primitives!$C$22:$E$24,Primitives!$C$26:$E$28,Primitives!$C$30:$E$32,Primitives!$C$34:$E$36,Primitives!$C$38:$E$40,Primitives!$C$42:$E$44,Primitives!$C$46:$E$48,Primitives!$C$50:$E$52,Primitives!$C$54:$E$56,Primitives!$C$58:$E$60),$N40,S$13))</f>
        <v>1</v>
      </c>
      <c r="T40" s="64">
        <f>IF(AND($K40=Calc.Top, T$10=Calc.Left),Player.Direction,INDEX(CHOOSE(INDEX(MazeDef,$L40,T$11),Primitives!$C$2:$E$4,Primitives!$C$6:$E$8,Primitives!$C$10:$E$12,Primitives!$C$14:$E$16,Primitives!$C$18:$E$20,Primitives!$C$22:$E$24,Primitives!$C$26:$E$28,Primitives!$C$30:$E$32,Primitives!$C$34:$E$36,Primitives!$C$38:$E$40,Primitives!$C$42:$E$44,Primitives!$C$46:$E$48,Primitives!$C$50:$E$52,Primitives!$C$54:$E$56,Primitives!$C$58:$E$60),$N40,T$13))</f>
        <v>1</v>
      </c>
      <c r="U40" s="64">
        <f>IF(AND($K40=Calc.Top, U$10=Calc.Left),Player.Direction,INDEX(CHOOSE(INDEX(MazeDef,$L40,U$11),Primitives!$C$2:$E$4,Primitives!$C$6:$E$8,Primitives!$C$10:$E$12,Primitives!$C$14:$E$16,Primitives!$C$18:$E$20,Primitives!$C$22:$E$24,Primitives!$C$26:$E$28,Primitives!$C$30:$E$32,Primitives!$C$34:$E$36,Primitives!$C$38:$E$40,Primitives!$C$42:$E$44,Primitives!$C$46:$E$48,Primitives!$C$50:$E$52,Primitives!$C$54:$E$56,Primitives!$C$58:$E$60),$N40,U$13))</f>
        <v>1</v>
      </c>
      <c r="V40" s="64">
        <f>IF(AND($K40=Calc.Top, V$10=Calc.Left),Player.Direction,INDEX(CHOOSE(INDEX(MazeDef,$L40,V$11),Primitives!$C$2:$E$4,Primitives!$C$6:$E$8,Primitives!$C$10:$E$12,Primitives!$C$14:$E$16,Primitives!$C$18:$E$20,Primitives!$C$22:$E$24,Primitives!$C$26:$E$28,Primitives!$C$30:$E$32,Primitives!$C$34:$E$36,Primitives!$C$38:$E$40,Primitives!$C$42:$E$44,Primitives!$C$46:$E$48,Primitives!$C$50:$E$52,Primitives!$C$54:$E$56,Primitives!$C$58:$E$60),$N40,V$13))</f>
        <v>0</v>
      </c>
      <c r="W40" s="64">
        <f>IF(AND($K40=Calc.Top, W$10=Calc.Left),Player.Direction,INDEX(CHOOSE(INDEX(MazeDef,$L40,W$11),Primitives!$C$2:$E$4,Primitives!$C$6:$E$8,Primitives!$C$10:$E$12,Primitives!$C$14:$E$16,Primitives!$C$18:$E$20,Primitives!$C$22:$E$24,Primitives!$C$26:$E$28,Primitives!$C$30:$E$32,Primitives!$C$34:$E$36,Primitives!$C$38:$E$40,Primitives!$C$42:$E$44,Primitives!$C$46:$E$48,Primitives!$C$50:$E$52,Primitives!$C$54:$E$56,Primitives!$C$58:$E$60),$N40,W$13))</f>
        <v>1</v>
      </c>
      <c r="X40" s="64">
        <f>IF(AND($K40=Calc.Top, X$10=Calc.Left),Player.Direction,INDEX(CHOOSE(INDEX(MazeDef,$L40,X$11),Primitives!$C$2:$E$4,Primitives!$C$6:$E$8,Primitives!$C$10:$E$12,Primitives!$C$14:$E$16,Primitives!$C$18:$E$20,Primitives!$C$22:$E$24,Primitives!$C$26:$E$28,Primitives!$C$30:$E$32,Primitives!$C$34:$E$36,Primitives!$C$38:$E$40,Primitives!$C$42:$E$44,Primitives!$C$46:$E$48,Primitives!$C$50:$E$52,Primitives!$C$54:$E$56,Primitives!$C$58:$E$60),$N40,X$13))</f>
        <v>1</v>
      </c>
      <c r="Y40" s="64">
        <f>IF(AND($K40=Calc.Top, Y$10=Calc.Left),Player.Direction,INDEX(CHOOSE(INDEX(MazeDef,$L40,Y$11),Primitives!$C$2:$E$4,Primitives!$C$6:$E$8,Primitives!$C$10:$E$12,Primitives!$C$14:$E$16,Primitives!$C$18:$E$20,Primitives!$C$22:$E$24,Primitives!$C$26:$E$28,Primitives!$C$30:$E$32,Primitives!$C$34:$E$36,Primitives!$C$38:$E$40,Primitives!$C$42:$E$44,Primitives!$C$46:$E$48,Primitives!$C$50:$E$52,Primitives!$C$54:$E$56,Primitives!$C$58:$E$60),$N40,Y$13))</f>
        <v>0</v>
      </c>
      <c r="Z40" s="64">
        <f>IF(AND($K40=Calc.Top, Z$10=Calc.Left),Player.Direction,INDEX(CHOOSE(INDEX(MazeDef,$L40,Z$11),Primitives!$C$2:$E$4,Primitives!$C$6:$E$8,Primitives!$C$10:$E$12,Primitives!$C$14:$E$16,Primitives!$C$18:$E$20,Primitives!$C$22:$E$24,Primitives!$C$26:$E$28,Primitives!$C$30:$E$32,Primitives!$C$34:$E$36,Primitives!$C$38:$E$40,Primitives!$C$42:$E$44,Primitives!$C$46:$E$48,Primitives!$C$50:$E$52,Primitives!$C$54:$E$56,Primitives!$C$58:$E$60),$N40,Z$13))</f>
        <v>1</v>
      </c>
      <c r="AA40" s="64">
        <f>IF(AND($K40=Calc.Top, AA$10=Calc.Left),Player.Direction,INDEX(CHOOSE(INDEX(MazeDef,$L40,AA$11),Primitives!$C$2:$E$4,Primitives!$C$6:$E$8,Primitives!$C$10:$E$12,Primitives!$C$14:$E$16,Primitives!$C$18:$E$20,Primitives!$C$22:$E$24,Primitives!$C$26:$E$28,Primitives!$C$30:$E$32,Primitives!$C$34:$E$36,Primitives!$C$38:$E$40,Primitives!$C$42:$E$44,Primitives!$C$46:$E$48,Primitives!$C$50:$E$52,Primitives!$C$54:$E$56,Primitives!$C$58:$E$60),$N40,AA$13))</f>
        <v>1</v>
      </c>
      <c r="AB40" s="64">
        <f>IF(AND($K40=Calc.Top, AB$10=Calc.Left),Player.Direction,INDEX(CHOOSE(INDEX(MazeDef,$L40,AB$11),Primitives!$C$2:$E$4,Primitives!$C$6:$E$8,Primitives!$C$10:$E$12,Primitives!$C$14:$E$16,Primitives!$C$18:$E$20,Primitives!$C$22:$E$24,Primitives!$C$26:$E$28,Primitives!$C$30:$E$32,Primitives!$C$34:$E$36,Primitives!$C$38:$E$40,Primitives!$C$42:$E$44,Primitives!$C$46:$E$48,Primitives!$C$50:$E$52,Primitives!$C$54:$E$56,Primitives!$C$58:$E$60),$N40,AB$13))</f>
        <v>1</v>
      </c>
      <c r="AC40" s="64">
        <f>IF(AND($K40=Calc.Top, AC$10=Calc.Left),Player.Direction,INDEX(CHOOSE(INDEX(MazeDef,$L40,AC$11),Primitives!$C$2:$E$4,Primitives!$C$6:$E$8,Primitives!$C$10:$E$12,Primitives!$C$14:$E$16,Primitives!$C$18:$E$20,Primitives!$C$22:$E$24,Primitives!$C$26:$E$28,Primitives!$C$30:$E$32,Primitives!$C$34:$E$36,Primitives!$C$38:$E$40,Primitives!$C$42:$E$44,Primitives!$C$46:$E$48,Primitives!$C$50:$E$52,Primitives!$C$54:$E$56,Primitives!$C$58:$E$60),$N40,AC$13))</f>
        <v>1</v>
      </c>
      <c r="AD40" s="64">
        <f>IF(AND($K40=Calc.Top, AD$10=Calc.Left),Player.Direction,INDEX(CHOOSE(INDEX(MazeDef,$L40,AD$11),Primitives!$C$2:$E$4,Primitives!$C$6:$E$8,Primitives!$C$10:$E$12,Primitives!$C$14:$E$16,Primitives!$C$18:$E$20,Primitives!$C$22:$E$24,Primitives!$C$26:$E$28,Primitives!$C$30:$E$32,Primitives!$C$34:$E$36,Primitives!$C$38:$E$40,Primitives!$C$42:$E$44,Primitives!$C$46:$E$48,Primitives!$C$50:$E$52,Primitives!$C$54:$E$56,Primitives!$C$58:$E$60),$N40,AD$13))</f>
        <v>1</v>
      </c>
      <c r="AE40" s="64">
        <f>IF(AND($K40=Calc.Top, AE$10=Calc.Left),Player.Direction,INDEX(CHOOSE(INDEX(MazeDef,$L40,AE$11),Primitives!$C$2:$E$4,Primitives!$C$6:$E$8,Primitives!$C$10:$E$12,Primitives!$C$14:$E$16,Primitives!$C$18:$E$20,Primitives!$C$22:$E$24,Primitives!$C$26:$E$28,Primitives!$C$30:$E$32,Primitives!$C$34:$E$36,Primitives!$C$38:$E$40,Primitives!$C$42:$E$44,Primitives!$C$46:$E$48,Primitives!$C$50:$E$52,Primitives!$C$54:$E$56,Primitives!$C$58:$E$60),$N40,AE$13))</f>
        <v>1</v>
      </c>
      <c r="AF40" s="64">
        <f>IF(AND($K40=Calc.Top, AF$10=Calc.Left),Player.Direction,INDEX(CHOOSE(INDEX(MazeDef,$L40,AF$11),Primitives!$C$2:$E$4,Primitives!$C$6:$E$8,Primitives!$C$10:$E$12,Primitives!$C$14:$E$16,Primitives!$C$18:$E$20,Primitives!$C$22:$E$24,Primitives!$C$26:$E$28,Primitives!$C$30:$E$32,Primitives!$C$34:$E$36,Primitives!$C$38:$E$40,Primitives!$C$42:$E$44,Primitives!$C$46:$E$48,Primitives!$C$50:$E$52,Primitives!$C$54:$E$56,Primitives!$C$58:$E$60),$N40,AF$13))</f>
        <v>1</v>
      </c>
      <c r="AG40" s="64">
        <f>IF(AND($K40=Calc.Top, AG$10=Calc.Left),Player.Direction,INDEX(CHOOSE(INDEX(MazeDef,$L40,AG$11),Primitives!$C$2:$E$4,Primitives!$C$6:$E$8,Primitives!$C$10:$E$12,Primitives!$C$14:$E$16,Primitives!$C$18:$E$20,Primitives!$C$22:$E$24,Primitives!$C$26:$E$28,Primitives!$C$30:$E$32,Primitives!$C$34:$E$36,Primitives!$C$38:$E$40,Primitives!$C$42:$E$44,Primitives!$C$46:$E$48,Primitives!$C$50:$E$52,Primitives!$C$54:$E$56,Primitives!$C$58:$E$60),$N40,AG$13))</f>
        <v>1</v>
      </c>
      <c r="AH40" s="64">
        <f>IF(AND($K40=Calc.Top, AH$10=Calc.Left),Player.Direction,INDEX(CHOOSE(INDEX(MazeDef,$L40,AH$11),Primitives!$C$2:$E$4,Primitives!$C$6:$E$8,Primitives!$C$10:$E$12,Primitives!$C$14:$E$16,Primitives!$C$18:$E$20,Primitives!$C$22:$E$24,Primitives!$C$26:$E$28,Primitives!$C$30:$E$32,Primitives!$C$34:$E$36,Primitives!$C$38:$E$40,Primitives!$C$42:$E$44,Primitives!$C$46:$E$48,Primitives!$C$50:$E$52,Primitives!$C$54:$E$56,Primitives!$C$58:$E$60),$N40,AH$13))</f>
        <v>0</v>
      </c>
      <c r="AI40" s="64">
        <f>IF(AND($K40=Calc.Top, AI$10=Calc.Left),Player.Direction,INDEX(CHOOSE(INDEX(MazeDef,$L40,AI$11),Primitives!$C$2:$E$4,Primitives!$C$6:$E$8,Primitives!$C$10:$E$12,Primitives!$C$14:$E$16,Primitives!$C$18:$E$20,Primitives!$C$22:$E$24,Primitives!$C$26:$E$28,Primitives!$C$30:$E$32,Primitives!$C$34:$E$36,Primitives!$C$38:$E$40,Primitives!$C$42:$E$44,Primitives!$C$46:$E$48,Primitives!$C$50:$E$52,Primitives!$C$54:$E$56,Primitives!$C$58:$E$60),$N40,AI$13))</f>
        <v>1</v>
      </c>
      <c r="AJ40" s="64">
        <f>IF(AND($K40=Calc.Top, AJ$10=Calc.Left),Player.Direction,INDEX(CHOOSE(INDEX(MazeDef,$L40,AJ$11),Primitives!$C$2:$E$4,Primitives!$C$6:$E$8,Primitives!$C$10:$E$12,Primitives!$C$14:$E$16,Primitives!$C$18:$E$20,Primitives!$C$22:$E$24,Primitives!$C$26:$E$28,Primitives!$C$30:$E$32,Primitives!$C$34:$E$36,Primitives!$C$38:$E$40,Primitives!$C$42:$E$44,Primitives!$C$46:$E$48,Primitives!$C$50:$E$52,Primitives!$C$54:$E$56,Primitives!$C$58:$E$60),$N40,AJ$13))</f>
        <v>1</v>
      </c>
      <c r="AK40" s="64">
        <f>IF(AND($K40=Calc.Top, AK$10=Calc.Left),Player.Direction,INDEX(CHOOSE(INDEX(MazeDef,$L40,AK$11),Primitives!$C$2:$E$4,Primitives!$C$6:$E$8,Primitives!$C$10:$E$12,Primitives!$C$14:$E$16,Primitives!$C$18:$E$20,Primitives!$C$22:$E$24,Primitives!$C$26:$E$28,Primitives!$C$30:$E$32,Primitives!$C$34:$E$36,Primitives!$C$38:$E$40,Primitives!$C$42:$E$44,Primitives!$C$46:$E$48,Primitives!$C$50:$E$52,Primitives!$C$54:$E$56,Primitives!$C$58:$E$60),$N40,AK$13))</f>
        <v>0</v>
      </c>
      <c r="AL40" s="64">
        <f>IF(AND($K40=Calc.Top, AL$10=Calc.Left),Player.Direction,INDEX(CHOOSE(INDEX(MazeDef,$L40,AL$11),Primitives!$C$2:$E$4,Primitives!$C$6:$E$8,Primitives!$C$10:$E$12,Primitives!$C$14:$E$16,Primitives!$C$18:$E$20,Primitives!$C$22:$E$24,Primitives!$C$26:$E$28,Primitives!$C$30:$E$32,Primitives!$C$34:$E$36,Primitives!$C$38:$E$40,Primitives!$C$42:$E$44,Primitives!$C$46:$E$48,Primitives!$C$50:$E$52,Primitives!$C$54:$E$56,Primitives!$C$58:$E$60),$N40,AL$13))</f>
        <v>1</v>
      </c>
      <c r="AM40" s="64">
        <f>IF(AND($K40=Calc.Top, AM$10=Calc.Left),Player.Direction,INDEX(CHOOSE(INDEX(MazeDef,$L40,AM$11),Primitives!$C$2:$E$4,Primitives!$C$6:$E$8,Primitives!$C$10:$E$12,Primitives!$C$14:$E$16,Primitives!$C$18:$E$20,Primitives!$C$22:$E$24,Primitives!$C$26:$E$28,Primitives!$C$30:$E$32,Primitives!$C$34:$E$36,Primitives!$C$38:$E$40,Primitives!$C$42:$E$44,Primitives!$C$46:$E$48,Primitives!$C$50:$E$52,Primitives!$C$54:$E$56,Primitives!$C$58:$E$60),$N40,AM$13))</f>
        <v>1</v>
      </c>
      <c r="AN40" s="64">
        <f>IF(AND($K40=Calc.Top, AN$10=Calc.Left),Player.Direction,INDEX(CHOOSE(INDEX(MazeDef,$L40,AN$11),Primitives!$C$2:$E$4,Primitives!$C$6:$E$8,Primitives!$C$10:$E$12,Primitives!$C$14:$E$16,Primitives!$C$18:$E$20,Primitives!$C$22:$E$24,Primitives!$C$26:$E$28,Primitives!$C$30:$E$32,Primitives!$C$34:$E$36,Primitives!$C$38:$E$40,Primitives!$C$42:$E$44,Primitives!$C$46:$E$48,Primitives!$C$50:$E$52,Primitives!$C$54:$E$56,Primitives!$C$58:$E$60),$N40,AN$13))</f>
        <v>0</v>
      </c>
      <c r="AO40" s="64">
        <f>IF(AND($K40=Calc.Top, AO$10=Calc.Left),Player.Direction,INDEX(CHOOSE(INDEX(MazeDef,$L40,AO$11),Primitives!$C$2:$E$4,Primitives!$C$6:$E$8,Primitives!$C$10:$E$12,Primitives!$C$14:$E$16,Primitives!$C$18:$E$20,Primitives!$C$22:$E$24,Primitives!$C$26:$E$28,Primitives!$C$30:$E$32,Primitives!$C$34:$E$36,Primitives!$C$38:$E$40,Primitives!$C$42:$E$44,Primitives!$C$46:$E$48,Primitives!$C$50:$E$52,Primitives!$C$54:$E$56,Primitives!$C$58:$E$60),$N40,AO$13))</f>
        <v>1</v>
      </c>
      <c r="AP40" s="64">
        <f>IF(AND($K40=Calc.Top, AP$10=Calc.Left),Player.Direction,INDEX(CHOOSE(INDEX(MazeDef,$L40,AP$11),Primitives!$C$2:$E$4,Primitives!$C$6:$E$8,Primitives!$C$10:$E$12,Primitives!$C$14:$E$16,Primitives!$C$18:$E$20,Primitives!$C$22:$E$24,Primitives!$C$26:$E$28,Primitives!$C$30:$E$32,Primitives!$C$34:$E$36,Primitives!$C$38:$E$40,Primitives!$C$42:$E$44,Primitives!$C$46:$E$48,Primitives!$C$50:$E$52,Primitives!$C$54:$E$56,Primitives!$C$58:$E$60),$N40,AP$13))</f>
        <v>1</v>
      </c>
      <c r="AQ40" s="64">
        <f>IF(AND($K40=Calc.Top, AQ$10=Calc.Left),Player.Direction,INDEX(CHOOSE(INDEX(MazeDef,$L40,AQ$11),Primitives!$C$2:$E$4,Primitives!$C$6:$E$8,Primitives!$C$10:$E$12,Primitives!$C$14:$E$16,Primitives!$C$18:$E$20,Primitives!$C$22:$E$24,Primitives!$C$26:$E$28,Primitives!$C$30:$E$32,Primitives!$C$34:$E$36,Primitives!$C$38:$E$40,Primitives!$C$42:$E$44,Primitives!$C$46:$E$48,Primitives!$C$50:$E$52,Primitives!$C$54:$E$56,Primitives!$C$58:$E$60),$N40,AQ$13))</f>
        <v>0</v>
      </c>
      <c r="AR40" s="64">
        <f>IF(AND($K40=Calc.Top, AR$10=Calc.Left),Player.Direction,INDEX(CHOOSE(INDEX(MazeDef,$L40,AR$11),Primitives!$C$2:$E$4,Primitives!$C$6:$E$8,Primitives!$C$10:$E$12,Primitives!$C$14:$E$16,Primitives!$C$18:$E$20,Primitives!$C$22:$E$24,Primitives!$C$26:$E$28,Primitives!$C$30:$E$32,Primitives!$C$34:$E$36,Primitives!$C$38:$E$40,Primitives!$C$42:$E$44,Primitives!$C$46:$E$48,Primitives!$C$50:$E$52,Primitives!$C$54:$E$56,Primitives!$C$58:$E$60),$N40,AR$13))</f>
        <v>1</v>
      </c>
      <c r="AS40" s="2"/>
      <c r="AT40" s="2"/>
      <c r="AU40" s="2"/>
      <c r="AV40" s="2"/>
    </row>
    <row r="41" spans="1:48" ht="9" customHeight="1" x14ac:dyDescent="0.25">
      <c r="A41" s="5"/>
      <c r="B41" s="2"/>
      <c r="C41" s="2"/>
      <c r="D41" s="2"/>
      <c r="E41" s="2"/>
      <c r="F41" s="2"/>
      <c r="G41" s="2"/>
      <c r="H41" s="2"/>
      <c r="I41" s="2"/>
      <c r="J41" s="2"/>
      <c r="K41" s="2">
        <v>28</v>
      </c>
      <c r="L41" s="2">
        <v>10</v>
      </c>
      <c r="M41" s="67">
        <v>10</v>
      </c>
      <c r="N41" s="7">
        <v>1</v>
      </c>
      <c r="O41" s="64">
        <f>IF(AND($K41=Calc.Top, O$10=Calc.Left),Player.Direction,INDEX(CHOOSE(INDEX(MazeDef,$L41,O$11),Primitives!$C$2:$E$4,Primitives!$C$6:$E$8,Primitives!$C$10:$E$12,Primitives!$C$14:$E$16,Primitives!$C$18:$E$20,Primitives!$C$22:$E$24,Primitives!$C$26:$E$28,Primitives!$C$30:$E$32,Primitives!$C$34:$E$36,Primitives!$C$38:$E$40,Primitives!$C$42:$E$44,Primitives!$C$46:$E$48,Primitives!$C$50:$E$52,Primitives!$C$54:$E$56,Primitives!$C$58:$E$60),$N41,O$13))</f>
        <v>1</v>
      </c>
      <c r="P41" s="64">
        <f>IF(AND($K41=Calc.Top, P$10=Calc.Left),Player.Direction,INDEX(CHOOSE(INDEX(MazeDef,$L41,P$11),Primitives!$C$2:$E$4,Primitives!$C$6:$E$8,Primitives!$C$10:$E$12,Primitives!$C$14:$E$16,Primitives!$C$18:$E$20,Primitives!$C$22:$E$24,Primitives!$C$26:$E$28,Primitives!$C$30:$E$32,Primitives!$C$34:$E$36,Primitives!$C$38:$E$40,Primitives!$C$42:$E$44,Primitives!$C$46:$E$48,Primitives!$C$50:$E$52,Primitives!$C$54:$E$56,Primitives!$C$58:$E$60),$N41,P$13))</f>
        <v>0</v>
      </c>
      <c r="Q41" s="64">
        <f>IF(AND($K41=Calc.Top, Q$10=Calc.Left),Player.Direction,INDEX(CHOOSE(INDEX(MazeDef,$L41,Q$11),Primitives!$C$2:$E$4,Primitives!$C$6:$E$8,Primitives!$C$10:$E$12,Primitives!$C$14:$E$16,Primitives!$C$18:$E$20,Primitives!$C$22:$E$24,Primitives!$C$26:$E$28,Primitives!$C$30:$E$32,Primitives!$C$34:$E$36,Primitives!$C$38:$E$40,Primitives!$C$42:$E$44,Primitives!$C$46:$E$48,Primitives!$C$50:$E$52,Primitives!$C$54:$E$56,Primitives!$C$58:$E$60),$N41,Q$13))</f>
        <v>1</v>
      </c>
      <c r="R41" s="64">
        <f>IF(AND($K41=Calc.Top, R$10=Calc.Left),Player.Direction,INDEX(CHOOSE(INDEX(MazeDef,$L41,R$11),Primitives!$C$2:$E$4,Primitives!$C$6:$E$8,Primitives!$C$10:$E$12,Primitives!$C$14:$E$16,Primitives!$C$18:$E$20,Primitives!$C$22:$E$24,Primitives!$C$26:$E$28,Primitives!$C$30:$E$32,Primitives!$C$34:$E$36,Primitives!$C$38:$E$40,Primitives!$C$42:$E$44,Primitives!$C$46:$E$48,Primitives!$C$50:$E$52,Primitives!$C$54:$E$56,Primitives!$C$58:$E$60),$N41,R$13))</f>
        <v>1</v>
      </c>
      <c r="S41" s="64">
        <f>IF(AND($K41=Calc.Top, S$10=Calc.Left),Player.Direction,INDEX(CHOOSE(INDEX(MazeDef,$L41,S$11),Primitives!$C$2:$E$4,Primitives!$C$6:$E$8,Primitives!$C$10:$E$12,Primitives!$C$14:$E$16,Primitives!$C$18:$E$20,Primitives!$C$22:$E$24,Primitives!$C$26:$E$28,Primitives!$C$30:$E$32,Primitives!$C$34:$E$36,Primitives!$C$38:$E$40,Primitives!$C$42:$E$44,Primitives!$C$46:$E$48,Primitives!$C$50:$E$52,Primitives!$C$54:$E$56,Primitives!$C$58:$E$60),$N41,S$13))</f>
        <v>1</v>
      </c>
      <c r="T41" s="64">
        <f>IF(AND($K41=Calc.Top, T$10=Calc.Left),Player.Direction,INDEX(CHOOSE(INDEX(MazeDef,$L41,T$11),Primitives!$C$2:$E$4,Primitives!$C$6:$E$8,Primitives!$C$10:$E$12,Primitives!$C$14:$E$16,Primitives!$C$18:$E$20,Primitives!$C$22:$E$24,Primitives!$C$26:$E$28,Primitives!$C$30:$E$32,Primitives!$C$34:$E$36,Primitives!$C$38:$E$40,Primitives!$C$42:$E$44,Primitives!$C$46:$E$48,Primitives!$C$50:$E$52,Primitives!$C$54:$E$56,Primitives!$C$58:$E$60),$N41,T$13))</f>
        <v>1</v>
      </c>
      <c r="U41" s="64">
        <f>IF(AND($K41=Calc.Top, U$10=Calc.Left),Player.Direction,INDEX(CHOOSE(INDEX(MazeDef,$L41,U$11),Primitives!$C$2:$E$4,Primitives!$C$6:$E$8,Primitives!$C$10:$E$12,Primitives!$C$14:$E$16,Primitives!$C$18:$E$20,Primitives!$C$22:$E$24,Primitives!$C$26:$E$28,Primitives!$C$30:$E$32,Primitives!$C$34:$E$36,Primitives!$C$38:$E$40,Primitives!$C$42:$E$44,Primitives!$C$46:$E$48,Primitives!$C$50:$E$52,Primitives!$C$54:$E$56,Primitives!$C$58:$E$60),$N41,U$13))</f>
        <v>1</v>
      </c>
      <c r="V41" s="64">
        <f>IF(AND($K41=Calc.Top, V$10=Calc.Left),Player.Direction,INDEX(CHOOSE(INDEX(MazeDef,$L41,V$11),Primitives!$C$2:$E$4,Primitives!$C$6:$E$8,Primitives!$C$10:$E$12,Primitives!$C$14:$E$16,Primitives!$C$18:$E$20,Primitives!$C$22:$E$24,Primitives!$C$26:$E$28,Primitives!$C$30:$E$32,Primitives!$C$34:$E$36,Primitives!$C$38:$E$40,Primitives!$C$42:$E$44,Primitives!$C$46:$E$48,Primitives!$C$50:$E$52,Primitives!$C$54:$E$56,Primitives!$C$58:$E$60),$N41,V$13))</f>
        <v>0</v>
      </c>
      <c r="W41" s="64">
        <f>IF(AND($K41=Calc.Top, W$10=Calc.Left),Player.Direction,INDEX(CHOOSE(INDEX(MazeDef,$L41,W$11),Primitives!$C$2:$E$4,Primitives!$C$6:$E$8,Primitives!$C$10:$E$12,Primitives!$C$14:$E$16,Primitives!$C$18:$E$20,Primitives!$C$22:$E$24,Primitives!$C$26:$E$28,Primitives!$C$30:$E$32,Primitives!$C$34:$E$36,Primitives!$C$38:$E$40,Primitives!$C$42:$E$44,Primitives!$C$46:$E$48,Primitives!$C$50:$E$52,Primitives!$C$54:$E$56,Primitives!$C$58:$E$60),$N41,W$13))</f>
        <v>1</v>
      </c>
      <c r="X41" s="64">
        <f>IF(AND($K41=Calc.Top, X$10=Calc.Left),Player.Direction,INDEX(CHOOSE(INDEX(MazeDef,$L41,X$11),Primitives!$C$2:$E$4,Primitives!$C$6:$E$8,Primitives!$C$10:$E$12,Primitives!$C$14:$E$16,Primitives!$C$18:$E$20,Primitives!$C$22:$E$24,Primitives!$C$26:$E$28,Primitives!$C$30:$E$32,Primitives!$C$34:$E$36,Primitives!$C$38:$E$40,Primitives!$C$42:$E$44,Primitives!$C$46:$E$48,Primitives!$C$50:$E$52,Primitives!$C$54:$E$56,Primitives!$C$58:$E$60),$N41,X$13))</f>
        <v>1</v>
      </c>
      <c r="Y41" s="64">
        <f>IF(AND($K41=Calc.Top, Y$10=Calc.Left),Player.Direction,INDEX(CHOOSE(INDEX(MazeDef,$L41,Y$11),Primitives!$C$2:$E$4,Primitives!$C$6:$E$8,Primitives!$C$10:$E$12,Primitives!$C$14:$E$16,Primitives!$C$18:$E$20,Primitives!$C$22:$E$24,Primitives!$C$26:$E$28,Primitives!$C$30:$E$32,Primitives!$C$34:$E$36,Primitives!$C$38:$E$40,Primitives!$C$42:$E$44,Primitives!$C$46:$E$48,Primitives!$C$50:$E$52,Primitives!$C$54:$E$56,Primitives!$C$58:$E$60),$N41,Y$13))</f>
        <v>0</v>
      </c>
      <c r="Z41" s="64">
        <f>IF(AND($K41=Calc.Top, Z$10=Calc.Left),Player.Direction,INDEX(CHOOSE(INDEX(MazeDef,$L41,Z$11),Primitives!$C$2:$E$4,Primitives!$C$6:$E$8,Primitives!$C$10:$E$12,Primitives!$C$14:$E$16,Primitives!$C$18:$E$20,Primitives!$C$22:$E$24,Primitives!$C$26:$E$28,Primitives!$C$30:$E$32,Primitives!$C$34:$E$36,Primitives!$C$38:$E$40,Primitives!$C$42:$E$44,Primitives!$C$46:$E$48,Primitives!$C$50:$E$52,Primitives!$C$54:$E$56,Primitives!$C$58:$E$60),$N41,Z$13))</f>
        <v>1</v>
      </c>
      <c r="AA41" s="64">
        <f>IF(AND($K41=Calc.Top, AA$10=Calc.Left),Player.Direction,INDEX(CHOOSE(INDEX(MazeDef,$L41,AA$11),Primitives!$C$2:$E$4,Primitives!$C$6:$E$8,Primitives!$C$10:$E$12,Primitives!$C$14:$E$16,Primitives!$C$18:$E$20,Primitives!$C$22:$E$24,Primitives!$C$26:$E$28,Primitives!$C$30:$E$32,Primitives!$C$34:$E$36,Primitives!$C$38:$E$40,Primitives!$C$42:$E$44,Primitives!$C$46:$E$48,Primitives!$C$50:$E$52,Primitives!$C$54:$E$56,Primitives!$C$58:$E$60),$N41,AA$13))</f>
        <v>1</v>
      </c>
      <c r="AB41" s="64">
        <f>IF(AND($K41=Calc.Top, AB$10=Calc.Left),Player.Direction,INDEX(CHOOSE(INDEX(MazeDef,$L41,AB$11),Primitives!$C$2:$E$4,Primitives!$C$6:$E$8,Primitives!$C$10:$E$12,Primitives!$C$14:$E$16,Primitives!$C$18:$E$20,Primitives!$C$22:$E$24,Primitives!$C$26:$E$28,Primitives!$C$30:$E$32,Primitives!$C$34:$E$36,Primitives!$C$38:$E$40,Primitives!$C$42:$E$44,Primitives!$C$46:$E$48,Primitives!$C$50:$E$52,Primitives!$C$54:$E$56,Primitives!$C$58:$E$60),$N41,AB$13))</f>
        <v>1</v>
      </c>
      <c r="AC41" s="64">
        <f>IF(AND($K41=Calc.Top, AC$10=Calc.Left),Player.Direction,INDEX(CHOOSE(INDEX(MazeDef,$L41,AC$11),Primitives!$C$2:$E$4,Primitives!$C$6:$E$8,Primitives!$C$10:$E$12,Primitives!$C$14:$E$16,Primitives!$C$18:$E$20,Primitives!$C$22:$E$24,Primitives!$C$26:$E$28,Primitives!$C$30:$E$32,Primitives!$C$34:$E$36,Primitives!$C$38:$E$40,Primitives!$C$42:$E$44,Primitives!$C$46:$E$48,Primitives!$C$50:$E$52,Primitives!$C$54:$E$56,Primitives!$C$58:$E$60),$N41,AC$13))</f>
        <v>1</v>
      </c>
      <c r="AD41" s="64">
        <f>IF(AND($K41=Calc.Top, AD$10=Calc.Left),Player.Direction,INDEX(CHOOSE(INDEX(MazeDef,$L41,AD$11),Primitives!$C$2:$E$4,Primitives!$C$6:$E$8,Primitives!$C$10:$E$12,Primitives!$C$14:$E$16,Primitives!$C$18:$E$20,Primitives!$C$22:$E$24,Primitives!$C$26:$E$28,Primitives!$C$30:$E$32,Primitives!$C$34:$E$36,Primitives!$C$38:$E$40,Primitives!$C$42:$E$44,Primitives!$C$46:$E$48,Primitives!$C$50:$E$52,Primitives!$C$54:$E$56,Primitives!$C$58:$E$60),$N41,AD$13))</f>
        <v>1</v>
      </c>
      <c r="AE41" s="64">
        <f>IF(AND($K41=Calc.Top, AE$10=Calc.Left),Player.Direction,INDEX(CHOOSE(INDEX(MazeDef,$L41,AE$11),Primitives!$C$2:$E$4,Primitives!$C$6:$E$8,Primitives!$C$10:$E$12,Primitives!$C$14:$E$16,Primitives!$C$18:$E$20,Primitives!$C$22:$E$24,Primitives!$C$26:$E$28,Primitives!$C$30:$E$32,Primitives!$C$34:$E$36,Primitives!$C$38:$E$40,Primitives!$C$42:$E$44,Primitives!$C$46:$E$48,Primitives!$C$50:$E$52,Primitives!$C$54:$E$56,Primitives!$C$58:$E$60),$N41,AE$13))</f>
        <v>1</v>
      </c>
      <c r="AF41" s="64">
        <f>IF(AND($K41=Calc.Top, AF$10=Calc.Left),Player.Direction,INDEX(CHOOSE(INDEX(MazeDef,$L41,AF$11),Primitives!$C$2:$E$4,Primitives!$C$6:$E$8,Primitives!$C$10:$E$12,Primitives!$C$14:$E$16,Primitives!$C$18:$E$20,Primitives!$C$22:$E$24,Primitives!$C$26:$E$28,Primitives!$C$30:$E$32,Primitives!$C$34:$E$36,Primitives!$C$38:$E$40,Primitives!$C$42:$E$44,Primitives!$C$46:$E$48,Primitives!$C$50:$E$52,Primitives!$C$54:$E$56,Primitives!$C$58:$E$60),$N41,AF$13))</f>
        <v>1</v>
      </c>
      <c r="AG41" s="64">
        <f>IF(AND($K41=Calc.Top, AG$10=Calc.Left),Player.Direction,INDEX(CHOOSE(INDEX(MazeDef,$L41,AG$11),Primitives!$C$2:$E$4,Primitives!$C$6:$E$8,Primitives!$C$10:$E$12,Primitives!$C$14:$E$16,Primitives!$C$18:$E$20,Primitives!$C$22:$E$24,Primitives!$C$26:$E$28,Primitives!$C$30:$E$32,Primitives!$C$34:$E$36,Primitives!$C$38:$E$40,Primitives!$C$42:$E$44,Primitives!$C$46:$E$48,Primitives!$C$50:$E$52,Primitives!$C$54:$E$56,Primitives!$C$58:$E$60),$N41,AG$13))</f>
        <v>1</v>
      </c>
      <c r="AH41" s="64">
        <f>IF(AND($K41=Calc.Top, AH$10=Calc.Left),Player.Direction,INDEX(CHOOSE(INDEX(MazeDef,$L41,AH$11),Primitives!$C$2:$E$4,Primitives!$C$6:$E$8,Primitives!$C$10:$E$12,Primitives!$C$14:$E$16,Primitives!$C$18:$E$20,Primitives!$C$22:$E$24,Primitives!$C$26:$E$28,Primitives!$C$30:$E$32,Primitives!$C$34:$E$36,Primitives!$C$38:$E$40,Primitives!$C$42:$E$44,Primitives!$C$46:$E$48,Primitives!$C$50:$E$52,Primitives!$C$54:$E$56,Primitives!$C$58:$E$60),$N41,AH$13))</f>
        <v>0</v>
      </c>
      <c r="AI41" s="64">
        <f>IF(AND($K41=Calc.Top, AI$10=Calc.Left),Player.Direction,INDEX(CHOOSE(INDEX(MazeDef,$L41,AI$11),Primitives!$C$2:$E$4,Primitives!$C$6:$E$8,Primitives!$C$10:$E$12,Primitives!$C$14:$E$16,Primitives!$C$18:$E$20,Primitives!$C$22:$E$24,Primitives!$C$26:$E$28,Primitives!$C$30:$E$32,Primitives!$C$34:$E$36,Primitives!$C$38:$E$40,Primitives!$C$42:$E$44,Primitives!$C$46:$E$48,Primitives!$C$50:$E$52,Primitives!$C$54:$E$56,Primitives!$C$58:$E$60),$N41,AI$13))</f>
        <v>1</v>
      </c>
      <c r="AJ41" s="64">
        <f>IF(AND($K41=Calc.Top, AJ$10=Calc.Left),Player.Direction,INDEX(CHOOSE(INDEX(MazeDef,$L41,AJ$11),Primitives!$C$2:$E$4,Primitives!$C$6:$E$8,Primitives!$C$10:$E$12,Primitives!$C$14:$E$16,Primitives!$C$18:$E$20,Primitives!$C$22:$E$24,Primitives!$C$26:$E$28,Primitives!$C$30:$E$32,Primitives!$C$34:$E$36,Primitives!$C$38:$E$40,Primitives!$C$42:$E$44,Primitives!$C$46:$E$48,Primitives!$C$50:$E$52,Primitives!$C$54:$E$56,Primitives!$C$58:$E$60),$N41,AJ$13))</f>
        <v>1</v>
      </c>
      <c r="AK41" s="64">
        <f>IF(AND($K41=Calc.Top, AK$10=Calc.Left),Player.Direction,INDEX(CHOOSE(INDEX(MazeDef,$L41,AK$11),Primitives!$C$2:$E$4,Primitives!$C$6:$E$8,Primitives!$C$10:$E$12,Primitives!$C$14:$E$16,Primitives!$C$18:$E$20,Primitives!$C$22:$E$24,Primitives!$C$26:$E$28,Primitives!$C$30:$E$32,Primitives!$C$34:$E$36,Primitives!$C$38:$E$40,Primitives!$C$42:$E$44,Primitives!$C$46:$E$48,Primitives!$C$50:$E$52,Primitives!$C$54:$E$56,Primitives!$C$58:$E$60),$N41,AK$13))</f>
        <v>0</v>
      </c>
      <c r="AL41" s="64">
        <f>IF(AND($K41=Calc.Top, AL$10=Calc.Left),Player.Direction,INDEX(CHOOSE(INDEX(MazeDef,$L41,AL$11),Primitives!$C$2:$E$4,Primitives!$C$6:$E$8,Primitives!$C$10:$E$12,Primitives!$C$14:$E$16,Primitives!$C$18:$E$20,Primitives!$C$22:$E$24,Primitives!$C$26:$E$28,Primitives!$C$30:$E$32,Primitives!$C$34:$E$36,Primitives!$C$38:$E$40,Primitives!$C$42:$E$44,Primitives!$C$46:$E$48,Primitives!$C$50:$E$52,Primitives!$C$54:$E$56,Primitives!$C$58:$E$60),$N41,AL$13))</f>
        <v>1</v>
      </c>
      <c r="AM41" s="64">
        <f>IF(AND($K41=Calc.Top, AM$10=Calc.Left),Player.Direction,INDEX(CHOOSE(INDEX(MazeDef,$L41,AM$11),Primitives!$C$2:$E$4,Primitives!$C$6:$E$8,Primitives!$C$10:$E$12,Primitives!$C$14:$E$16,Primitives!$C$18:$E$20,Primitives!$C$22:$E$24,Primitives!$C$26:$E$28,Primitives!$C$30:$E$32,Primitives!$C$34:$E$36,Primitives!$C$38:$E$40,Primitives!$C$42:$E$44,Primitives!$C$46:$E$48,Primitives!$C$50:$E$52,Primitives!$C$54:$E$56,Primitives!$C$58:$E$60),$N41,AM$13))</f>
        <v>1</v>
      </c>
      <c r="AN41" s="64">
        <f>IF(AND($K41=Calc.Top, AN$10=Calc.Left),Player.Direction,INDEX(CHOOSE(INDEX(MazeDef,$L41,AN$11),Primitives!$C$2:$E$4,Primitives!$C$6:$E$8,Primitives!$C$10:$E$12,Primitives!$C$14:$E$16,Primitives!$C$18:$E$20,Primitives!$C$22:$E$24,Primitives!$C$26:$E$28,Primitives!$C$30:$E$32,Primitives!$C$34:$E$36,Primitives!$C$38:$E$40,Primitives!$C$42:$E$44,Primitives!$C$46:$E$48,Primitives!$C$50:$E$52,Primitives!$C$54:$E$56,Primitives!$C$58:$E$60),$N41,AN$13))</f>
        <v>0</v>
      </c>
      <c r="AO41" s="64">
        <f>IF(AND($K41=Calc.Top, AO$10=Calc.Left),Player.Direction,INDEX(CHOOSE(INDEX(MazeDef,$L41,AO$11),Primitives!$C$2:$E$4,Primitives!$C$6:$E$8,Primitives!$C$10:$E$12,Primitives!$C$14:$E$16,Primitives!$C$18:$E$20,Primitives!$C$22:$E$24,Primitives!$C$26:$E$28,Primitives!$C$30:$E$32,Primitives!$C$34:$E$36,Primitives!$C$38:$E$40,Primitives!$C$42:$E$44,Primitives!$C$46:$E$48,Primitives!$C$50:$E$52,Primitives!$C$54:$E$56,Primitives!$C$58:$E$60),$N41,AO$13))</f>
        <v>1</v>
      </c>
      <c r="AP41" s="64">
        <f>IF(AND($K41=Calc.Top, AP$10=Calc.Left),Player.Direction,INDEX(CHOOSE(INDEX(MazeDef,$L41,AP$11),Primitives!$C$2:$E$4,Primitives!$C$6:$E$8,Primitives!$C$10:$E$12,Primitives!$C$14:$E$16,Primitives!$C$18:$E$20,Primitives!$C$22:$E$24,Primitives!$C$26:$E$28,Primitives!$C$30:$E$32,Primitives!$C$34:$E$36,Primitives!$C$38:$E$40,Primitives!$C$42:$E$44,Primitives!$C$46:$E$48,Primitives!$C$50:$E$52,Primitives!$C$54:$E$56,Primitives!$C$58:$E$60),$N41,AP$13))</f>
        <v>1</v>
      </c>
      <c r="AQ41" s="64">
        <f>IF(AND($K41=Calc.Top, AQ$10=Calc.Left),Player.Direction,INDEX(CHOOSE(INDEX(MazeDef,$L41,AQ$11),Primitives!$C$2:$E$4,Primitives!$C$6:$E$8,Primitives!$C$10:$E$12,Primitives!$C$14:$E$16,Primitives!$C$18:$E$20,Primitives!$C$22:$E$24,Primitives!$C$26:$E$28,Primitives!$C$30:$E$32,Primitives!$C$34:$E$36,Primitives!$C$38:$E$40,Primitives!$C$42:$E$44,Primitives!$C$46:$E$48,Primitives!$C$50:$E$52,Primitives!$C$54:$E$56,Primitives!$C$58:$E$60),$N41,AQ$13))</f>
        <v>0</v>
      </c>
      <c r="AR41" s="64">
        <f>IF(AND($K41=Calc.Top, AR$10=Calc.Left),Player.Direction,INDEX(CHOOSE(INDEX(MazeDef,$L41,AR$11),Primitives!$C$2:$E$4,Primitives!$C$6:$E$8,Primitives!$C$10:$E$12,Primitives!$C$14:$E$16,Primitives!$C$18:$E$20,Primitives!$C$22:$E$24,Primitives!$C$26:$E$28,Primitives!$C$30:$E$32,Primitives!$C$34:$E$36,Primitives!$C$38:$E$40,Primitives!$C$42:$E$44,Primitives!$C$46:$E$48,Primitives!$C$50:$E$52,Primitives!$C$54:$E$56,Primitives!$C$58:$E$60),$N41,AR$13))</f>
        <v>1</v>
      </c>
      <c r="AS41" s="2"/>
      <c r="AT41" s="2"/>
      <c r="AU41" s="2"/>
      <c r="AV41" s="2"/>
    </row>
    <row r="42" spans="1:48" ht="9" customHeight="1" x14ac:dyDescent="0.25">
      <c r="A42" s="5"/>
      <c r="B42" s="21">
        <v>1</v>
      </c>
      <c r="C42" s="21"/>
      <c r="D42" s="21">
        <v>1</v>
      </c>
      <c r="E42" s="2"/>
      <c r="F42" s="2"/>
      <c r="G42" s="2"/>
      <c r="H42" s="2"/>
      <c r="I42" s="2"/>
      <c r="J42" s="2"/>
      <c r="K42" s="2">
        <v>29</v>
      </c>
      <c r="L42" s="2">
        <v>10</v>
      </c>
      <c r="M42" s="68"/>
      <c r="N42" s="8">
        <v>2</v>
      </c>
      <c r="O42" s="64">
        <f>IF(AND($K42=Calc.Top, O$10=Calc.Left),Player.Direction,INDEX(CHOOSE(INDEX(MazeDef,$L42,O$11),Primitives!$C$2:$E$4,Primitives!$C$6:$E$8,Primitives!$C$10:$E$12,Primitives!$C$14:$E$16,Primitives!$C$18:$E$20,Primitives!$C$22:$E$24,Primitives!$C$26:$E$28,Primitives!$C$30:$E$32,Primitives!$C$34:$E$36,Primitives!$C$38:$E$40,Primitives!$C$42:$E$44,Primitives!$C$46:$E$48,Primitives!$C$50:$E$52,Primitives!$C$54:$E$56,Primitives!$C$58:$E$60),$N42,O$13))</f>
        <v>1</v>
      </c>
      <c r="P42" s="64">
        <f>IF(AND($K42=Calc.Top, P$10=Calc.Left),Player.Direction,INDEX(CHOOSE(INDEX(MazeDef,$L42,P$11),Primitives!$C$2:$E$4,Primitives!$C$6:$E$8,Primitives!$C$10:$E$12,Primitives!$C$14:$E$16,Primitives!$C$18:$E$20,Primitives!$C$22:$E$24,Primitives!$C$26:$E$28,Primitives!$C$30:$E$32,Primitives!$C$34:$E$36,Primitives!$C$38:$E$40,Primitives!$C$42:$E$44,Primitives!$C$46:$E$48,Primitives!$C$50:$E$52,Primitives!$C$54:$E$56,Primitives!$C$58:$E$60),$N42,P$13))</f>
        <v>0</v>
      </c>
      <c r="Q42" s="64">
        <f>IF(AND($K42=Calc.Top, Q$10=Calc.Left),Player.Direction,INDEX(CHOOSE(INDEX(MazeDef,$L42,Q$11),Primitives!$C$2:$E$4,Primitives!$C$6:$E$8,Primitives!$C$10:$E$12,Primitives!$C$14:$E$16,Primitives!$C$18:$E$20,Primitives!$C$22:$E$24,Primitives!$C$26:$E$28,Primitives!$C$30:$E$32,Primitives!$C$34:$E$36,Primitives!$C$38:$E$40,Primitives!$C$42:$E$44,Primitives!$C$46:$E$48,Primitives!$C$50:$E$52,Primitives!$C$54:$E$56,Primitives!$C$58:$E$60),$N42,Q$13))</f>
        <v>0</v>
      </c>
      <c r="R42" s="64">
        <f>IF(AND($K42=Calc.Top, R$10=Calc.Left),Player.Direction,INDEX(CHOOSE(INDEX(MazeDef,$L42,R$11),Primitives!$C$2:$E$4,Primitives!$C$6:$E$8,Primitives!$C$10:$E$12,Primitives!$C$14:$E$16,Primitives!$C$18:$E$20,Primitives!$C$22:$E$24,Primitives!$C$26:$E$28,Primitives!$C$30:$E$32,Primitives!$C$34:$E$36,Primitives!$C$38:$E$40,Primitives!$C$42:$E$44,Primitives!$C$46:$E$48,Primitives!$C$50:$E$52,Primitives!$C$54:$E$56,Primitives!$C$58:$E$60),$N42,R$13))</f>
        <v>0</v>
      </c>
      <c r="S42" s="64">
        <f>IF(AND($K42=Calc.Top, S$10=Calc.Left),Player.Direction,INDEX(CHOOSE(INDEX(MazeDef,$L42,S$11),Primitives!$C$2:$E$4,Primitives!$C$6:$E$8,Primitives!$C$10:$E$12,Primitives!$C$14:$E$16,Primitives!$C$18:$E$20,Primitives!$C$22:$E$24,Primitives!$C$26:$E$28,Primitives!$C$30:$E$32,Primitives!$C$34:$E$36,Primitives!$C$38:$E$40,Primitives!$C$42:$E$44,Primitives!$C$46:$E$48,Primitives!$C$50:$E$52,Primitives!$C$54:$E$56,Primitives!$C$58:$E$60),$N42,S$13))</f>
        <v>0</v>
      </c>
      <c r="T42" s="64">
        <f>IF(AND($K42=Calc.Top, T$10=Calc.Left),Player.Direction,INDEX(CHOOSE(INDEX(MazeDef,$L42,T$11),Primitives!$C$2:$E$4,Primitives!$C$6:$E$8,Primitives!$C$10:$E$12,Primitives!$C$14:$E$16,Primitives!$C$18:$E$20,Primitives!$C$22:$E$24,Primitives!$C$26:$E$28,Primitives!$C$30:$E$32,Primitives!$C$34:$E$36,Primitives!$C$38:$E$40,Primitives!$C$42:$E$44,Primitives!$C$46:$E$48,Primitives!$C$50:$E$52,Primitives!$C$54:$E$56,Primitives!$C$58:$E$60),$N42,T$13))</f>
        <v>0</v>
      </c>
      <c r="U42" s="64">
        <f>IF(AND($K42=Calc.Top, U$10=Calc.Left),Player.Direction,INDEX(CHOOSE(INDEX(MazeDef,$L42,U$11),Primitives!$C$2:$E$4,Primitives!$C$6:$E$8,Primitives!$C$10:$E$12,Primitives!$C$14:$E$16,Primitives!$C$18:$E$20,Primitives!$C$22:$E$24,Primitives!$C$26:$E$28,Primitives!$C$30:$E$32,Primitives!$C$34:$E$36,Primitives!$C$38:$E$40,Primitives!$C$42:$E$44,Primitives!$C$46:$E$48,Primitives!$C$50:$E$52,Primitives!$C$54:$E$56,Primitives!$C$58:$E$60),$N42,U$13))</f>
        <v>0</v>
      </c>
      <c r="V42" s="64">
        <f>IF(AND($K42=Calc.Top, V$10=Calc.Left),Player.Direction,INDEX(CHOOSE(INDEX(MazeDef,$L42,V$11),Primitives!$C$2:$E$4,Primitives!$C$6:$E$8,Primitives!$C$10:$E$12,Primitives!$C$14:$E$16,Primitives!$C$18:$E$20,Primitives!$C$22:$E$24,Primitives!$C$26:$E$28,Primitives!$C$30:$E$32,Primitives!$C$34:$E$36,Primitives!$C$38:$E$40,Primitives!$C$42:$E$44,Primitives!$C$46:$E$48,Primitives!$C$50:$E$52,Primitives!$C$54:$E$56,Primitives!$C$58:$E$60),$N42,V$13))</f>
        <v>0</v>
      </c>
      <c r="W42" s="64">
        <f>IF(AND($K42=Calc.Top, W$10=Calc.Left),Player.Direction,INDEX(CHOOSE(INDEX(MazeDef,$L42,W$11),Primitives!$C$2:$E$4,Primitives!$C$6:$E$8,Primitives!$C$10:$E$12,Primitives!$C$14:$E$16,Primitives!$C$18:$E$20,Primitives!$C$22:$E$24,Primitives!$C$26:$E$28,Primitives!$C$30:$E$32,Primitives!$C$34:$E$36,Primitives!$C$38:$E$40,Primitives!$C$42:$E$44,Primitives!$C$46:$E$48,Primitives!$C$50:$E$52,Primitives!$C$54:$E$56,Primitives!$C$58:$E$60),$N42,W$13))</f>
        <v>1</v>
      </c>
      <c r="X42" s="64">
        <f>IF(AND($K42=Calc.Top, X$10=Calc.Left),Player.Direction,INDEX(CHOOSE(INDEX(MazeDef,$L42,X$11),Primitives!$C$2:$E$4,Primitives!$C$6:$E$8,Primitives!$C$10:$E$12,Primitives!$C$14:$E$16,Primitives!$C$18:$E$20,Primitives!$C$22:$E$24,Primitives!$C$26:$E$28,Primitives!$C$30:$E$32,Primitives!$C$34:$E$36,Primitives!$C$38:$E$40,Primitives!$C$42:$E$44,Primitives!$C$46:$E$48,Primitives!$C$50:$E$52,Primitives!$C$54:$E$56,Primitives!$C$58:$E$60),$N42,X$13))</f>
        <v>1</v>
      </c>
      <c r="Y42" s="64">
        <f>IF(AND($K42=Calc.Top, Y$10=Calc.Left),Player.Direction,INDEX(CHOOSE(INDEX(MazeDef,$L42,Y$11),Primitives!$C$2:$E$4,Primitives!$C$6:$E$8,Primitives!$C$10:$E$12,Primitives!$C$14:$E$16,Primitives!$C$18:$E$20,Primitives!$C$22:$E$24,Primitives!$C$26:$E$28,Primitives!$C$30:$E$32,Primitives!$C$34:$E$36,Primitives!$C$38:$E$40,Primitives!$C$42:$E$44,Primitives!$C$46:$E$48,Primitives!$C$50:$E$52,Primitives!$C$54:$E$56,Primitives!$C$58:$E$60),$N42,Y$13))</f>
        <v>0</v>
      </c>
      <c r="Z42" s="64">
        <f>IF(AND($K42=Calc.Top, Z$10=Calc.Left),Player.Direction,INDEX(CHOOSE(INDEX(MazeDef,$L42,Z$11),Primitives!$C$2:$E$4,Primitives!$C$6:$E$8,Primitives!$C$10:$E$12,Primitives!$C$14:$E$16,Primitives!$C$18:$E$20,Primitives!$C$22:$E$24,Primitives!$C$26:$E$28,Primitives!$C$30:$E$32,Primitives!$C$34:$E$36,Primitives!$C$38:$E$40,Primitives!$C$42:$E$44,Primitives!$C$46:$E$48,Primitives!$C$50:$E$52,Primitives!$C$54:$E$56,Primitives!$C$58:$E$60),$N42,Z$13))</f>
        <v>0</v>
      </c>
      <c r="AA42" s="64">
        <f>IF(AND($K42=Calc.Top, AA$10=Calc.Left),Player.Direction,INDEX(CHOOSE(INDEX(MazeDef,$L42,AA$11),Primitives!$C$2:$E$4,Primitives!$C$6:$E$8,Primitives!$C$10:$E$12,Primitives!$C$14:$E$16,Primitives!$C$18:$E$20,Primitives!$C$22:$E$24,Primitives!$C$26:$E$28,Primitives!$C$30:$E$32,Primitives!$C$34:$E$36,Primitives!$C$38:$E$40,Primitives!$C$42:$E$44,Primitives!$C$46:$E$48,Primitives!$C$50:$E$52,Primitives!$C$54:$E$56,Primitives!$C$58:$E$60),$N42,AA$13))</f>
        <v>0</v>
      </c>
      <c r="AB42" s="64">
        <f>IF(AND($K42=Calc.Top, AB$10=Calc.Left),Player.Direction,INDEX(CHOOSE(INDEX(MazeDef,$L42,AB$11),Primitives!$C$2:$E$4,Primitives!$C$6:$E$8,Primitives!$C$10:$E$12,Primitives!$C$14:$E$16,Primitives!$C$18:$E$20,Primitives!$C$22:$E$24,Primitives!$C$26:$E$28,Primitives!$C$30:$E$32,Primitives!$C$34:$E$36,Primitives!$C$38:$E$40,Primitives!$C$42:$E$44,Primitives!$C$46:$E$48,Primitives!$C$50:$E$52,Primitives!$C$54:$E$56,Primitives!$C$58:$E$60),$N42,AB$13))</f>
        <v>0</v>
      </c>
      <c r="AC42" s="64">
        <f>IF(AND($K42=Calc.Top, AC$10=Calc.Left),Player.Direction,INDEX(CHOOSE(INDEX(MazeDef,$L42,AC$11),Primitives!$C$2:$E$4,Primitives!$C$6:$E$8,Primitives!$C$10:$E$12,Primitives!$C$14:$E$16,Primitives!$C$18:$E$20,Primitives!$C$22:$E$24,Primitives!$C$26:$E$28,Primitives!$C$30:$E$32,Primitives!$C$34:$E$36,Primitives!$C$38:$E$40,Primitives!$C$42:$E$44,Primitives!$C$46:$E$48,Primitives!$C$50:$E$52,Primitives!$C$54:$E$56,Primitives!$C$58:$E$60),$N42,AC$13))</f>
        <v>0</v>
      </c>
      <c r="AD42" s="64">
        <f>IF(AND($K42=Calc.Top, AD$10=Calc.Left),Player.Direction,INDEX(CHOOSE(INDEX(MazeDef,$L42,AD$11),Primitives!$C$2:$E$4,Primitives!$C$6:$E$8,Primitives!$C$10:$E$12,Primitives!$C$14:$E$16,Primitives!$C$18:$E$20,Primitives!$C$22:$E$24,Primitives!$C$26:$E$28,Primitives!$C$30:$E$32,Primitives!$C$34:$E$36,Primitives!$C$38:$E$40,Primitives!$C$42:$E$44,Primitives!$C$46:$E$48,Primitives!$C$50:$E$52,Primitives!$C$54:$E$56,Primitives!$C$58:$E$60),$N42,AD$13))</f>
        <v>0</v>
      </c>
      <c r="AE42" s="64">
        <f>IF(AND($K42=Calc.Top, AE$10=Calc.Left),Player.Direction,INDEX(CHOOSE(INDEX(MazeDef,$L42,AE$11),Primitives!$C$2:$E$4,Primitives!$C$6:$E$8,Primitives!$C$10:$E$12,Primitives!$C$14:$E$16,Primitives!$C$18:$E$20,Primitives!$C$22:$E$24,Primitives!$C$26:$E$28,Primitives!$C$30:$E$32,Primitives!$C$34:$E$36,Primitives!$C$38:$E$40,Primitives!$C$42:$E$44,Primitives!$C$46:$E$48,Primitives!$C$50:$E$52,Primitives!$C$54:$E$56,Primitives!$C$58:$E$60),$N42,AE$13))</f>
        <v>0</v>
      </c>
      <c r="AF42" s="64">
        <f>IF(AND($K42=Calc.Top, AF$10=Calc.Left),Player.Direction,INDEX(CHOOSE(INDEX(MazeDef,$L42,AF$11),Primitives!$C$2:$E$4,Primitives!$C$6:$E$8,Primitives!$C$10:$E$12,Primitives!$C$14:$E$16,Primitives!$C$18:$E$20,Primitives!$C$22:$E$24,Primitives!$C$26:$E$28,Primitives!$C$30:$E$32,Primitives!$C$34:$E$36,Primitives!$C$38:$E$40,Primitives!$C$42:$E$44,Primitives!$C$46:$E$48,Primitives!$C$50:$E$52,Primitives!$C$54:$E$56,Primitives!$C$58:$E$60),$N42,AF$13))</f>
        <v>0</v>
      </c>
      <c r="AG42" s="64">
        <f>IF(AND($K42=Calc.Top, AG$10=Calc.Left),Player.Direction,INDEX(CHOOSE(INDEX(MazeDef,$L42,AG$11),Primitives!$C$2:$E$4,Primitives!$C$6:$E$8,Primitives!$C$10:$E$12,Primitives!$C$14:$E$16,Primitives!$C$18:$E$20,Primitives!$C$22:$E$24,Primitives!$C$26:$E$28,Primitives!$C$30:$E$32,Primitives!$C$34:$E$36,Primitives!$C$38:$E$40,Primitives!$C$42:$E$44,Primitives!$C$46:$E$48,Primitives!$C$50:$E$52,Primitives!$C$54:$E$56,Primitives!$C$58:$E$60),$N42,AG$13))</f>
        <v>0</v>
      </c>
      <c r="AH42" s="64">
        <f>IF(AND($K42=Calc.Top, AH$10=Calc.Left),Player.Direction,INDEX(CHOOSE(INDEX(MazeDef,$L42,AH$11),Primitives!$C$2:$E$4,Primitives!$C$6:$E$8,Primitives!$C$10:$E$12,Primitives!$C$14:$E$16,Primitives!$C$18:$E$20,Primitives!$C$22:$E$24,Primitives!$C$26:$E$28,Primitives!$C$30:$E$32,Primitives!$C$34:$E$36,Primitives!$C$38:$E$40,Primitives!$C$42:$E$44,Primitives!$C$46:$E$48,Primitives!$C$50:$E$52,Primitives!$C$54:$E$56,Primitives!$C$58:$E$60),$N42,AH$13))</f>
        <v>0</v>
      </c>
      <c r="AI42" s="64">
        <f>IF(AND($K42=Calc.Top, AI$10=Calc.Left),Player.Direction,INDEX(CHOOSE(INDEX(MazeDef,$L42,AI$11),Primitives!$C$2:$E$4,Primitives!$C$6:$E$8,Primitives!$C$10:$E$12,Primitives!$C$14:$E$16,Primitives!$C$18:$E$20,Primitives!$C$22:$E$24,Primitives!$C$26:$E$28,Primitives!$C$30:$E$32,Primitives!$C$34:$E$36,Primitives!$C$38:$E$40,Primitives!$C$42:$E$44,Primitives!$C$46:$E$48,Primitives!$C$50:$E$52,Primitives!$C$54:$E$56,Primitives!$C$58:$E$60),$N42,AI$13))</f>
        <v>1</v>
      </c>
      <c r="AJ42" s="64">
        <f>IF(AND($K42=Calc.Top, AJ$10=Calc.Left),Player.Direction,INDEX(CHOOSE(INDEX(MazeDef,$L42,AJ$11),Primitives!$C$2:$E$4,Primitives!$C$6:$E$8,Primitives!$C$10:$E$12,Primitives!$C$14:$E$16,Primitives!$C$18:$E$20,Primitives!$C$22:$E$24,Primitives!$C$26:$E$28,Primitives!$C$30:$E$32,Primitives!$C$34:$E$36,Primitives!$C$38:$E$40,Primitives!$C$42:$E$44,Primitives!$C$46:$E$48,Primitives!$C$50:$E$52,Primitives!$C$54:$E$56,Primitives!$C$58:$E$60),$N42,AJ$13))</f>
        <v>1</v>
      </c>
      <c r="AK42" s="64">
        <f>IF(AND($K42=Calc.Top, AK$10=Calc.Left),Player.Direction,INDEX(CHOOSE(INDEX(MazeDef,$L42,AK$11),Primitives!$C$2:$E$4,Primitives!$C$6:$E$8,Primitives!$C$10:$E$12,Primitives!$C$14:$E$16,Primitives!$C$18:$E$20,Primitives!$C$22:$E$24,Primitives!$C$26:$E$28,Primitives!$C$30:$E$32,Primitives!$C$34:$E$36,Primitives!$C$38:$E$40,Primitives!$C$42:$E$44,Primitives!$C$46:$E$48,Primitives!$C$50:$E$52,Primitives!$C$54:$E$56,Primitives!$C$58:$E$60),$N42,AK$13))</f>
        <v>0</v>
      </c>
      <c r="AL42" s="64">
        <f>IF(AND($K42=Calc.Top, AL$10=Calc.Left),Player.Direction,INDEX(CHOOSE(INDEX(MazeDef,$L42,AL$11),Primitives!$C$2:$E$4,Primitives!$C$6:$E$8,Primitives!$C$10:$E$12,Primitives!$C$14:$E$16,Primitives!$C$18:$E$20,Primitives!$C$22:$E$24,Primitives!$C$26:$E$28,Primitives!$C$30:$E$32,Primitives!$C$34:$E$36,Primitives!$C$38:$E$40,Primitives!$C$42:$E$44,Primitives!$C$46:$E$48,Primitives!$C$50:$E$52,Primitives!$C$54:$E$56,Primitives!$C$58:$E$60),$N42,AL$13))</f>
        <v>0</v>
      </c>
      <c r="AM42" s="64">
        <f>IF(AND($K42=Calc.Top, AM$10=Calc.Left),Player.Direction,INDEX(CHOOSE(INDEX(MazeDef,$L42,AM$11),Primitives!$C$2:$E$4,Primitives!$C$6:$E$8,Primitives!$C$10:$E$12,Primitives!$C$14:$E$16,Primitives!$C$18:$E$20,Primitives!$C$22:$E$24,Primitives!$C$26:$E$28,Primitives!$C$30:$E$32,Primitives!$C$34:$E$36,Primitives!$C$38:$E$40,Primitives!$C$42:$E$44,Primitives!$C$46:$E$48,Primitives!$C$50:$E$52,Primitives!$C$54:$E$56,Primitives!$C$58:$E$60),$N42,AM$13))</f>
        <v>0</v>
      </c>
      <c r="AN42" s="64">
        <f>IF(AND($K42=Calc.Top, AN$10=Calc.Left),Player.Direction,INDEX(CHOOSE(INDEX(MazeDef,$L42,AN$11),Primitives!$C$2:$E$4,Primitives!$C$6:$E$8,Primitives!$C$10:$E$12,Primitives!$C$14:$E$16,Primitives!$C$18:$E$20,Primitives!$C$22:$E$24,Primitives!$C$26:$E$28,Primitives!$C$30:$E$32,Primitives!$C$34:$E$36,Primitives!$C$38:$E$40,Primitives!$C$42:$E$44,Primitives!$C$46:$E$48,Primitives!$C$50:$E$52,Primitives!$C$54:$E$56,Primitives!$C$58:$E$60),$N42,AN$13))</f>
        <v>0</v>
      </c>
      <c r="AO42" s="64">
        <f>IF(AND($K42=Calc.Top, AO$10=Calc.Left),Player.Direction,INDEX(CHOOSE(INDEX(MazeDef,$L42,AO$11),Primitives!$C$2:$E$4,Primitives!$C$6:$E$8,Primitives!$C$10:$E$12,Primitives!$C$14:$E$16,Primitives!$C$18:$E$20,Primitives!$C$22:$E$24,Primitives!$C$26:$E$28,Primitives!$C$30:$E$32,Primitives!$C$34:$E$36,Primitives!$C$38:$E$40,Primitives!$C$42:$E$44,Primitives!$C$46:$E$48,Primitives!$C$50:$E$52,Primitives!$C$54:$E$56,Primitives!$C$58:$E$60),$N42,AO$13))</f>
        <v>0</v>
      </c>
      <c r="AP42" s="64">
        <f>IF(AND($K42=Calc.Top, AP$10=Calc.Left),Player.Direction,INDEX(CHOOSE(INDEX(MazeDef,$L42,AP$11),Primitives!$C$2:$E$4,Primitives!$C$6:$E$8,Primitives!$C$10:$E$12,Primitives!$C$14:$E$16,Primitives!$C$18:$E$20,Primitives!$C$22:$E$24,Primitives!$C$26:$E$28,Primitives!$C$30:$E$32,Primitives!$C$34:$E$36,Primitives!$C$38:$E$40,Primitives!$C$42:$E$44,Primitives!$C$46:$E$48,Primitives!$C$50:$E$52,Primitives!$C$54:$E$56,Primitives!$C$58:$E$60),$N42,AP$13))</f>
        <v>0</v>
      </c>
      <c r="AQ42" s="64">
        <f>IF(AND($K42=Calc.Top, AQ$10=Calc.Left),Player.Direction,INDEX(CHOOSE(INDEX(MazeDef,$L42,AQ$11),Primitives!$C$2:$E$4,Primitives!$C$6:$E$8,Primitives!$C$10:$E$12,Primitives!$C$14:$E$16,Primitives!$C$18:$E$20,Primitives!$C$22:$E$24,Primitives!$C$26:$E$28,Primitives!$C$30:$E$32,Primitives!$C$34:$E$36,Primitives!$C$38:$E$40,Primitives!$C$42:$E$44,Primitives!$C$46:$E$48,Primitives!$C$50:$E$52,Primitives!$C$54:$E$56,Primitives!$C$58:$E$60),$N42,AQ$13))</f>
        <v>0</v>
      </c>
      <c r="AR42" s="64">
        <f>IF(AND($K42=Calc.Top, AR$10=Calc.Left),Player.Direction,INDEX(CHOOSE(INDEX(MazeDef,$L42,AR$11),Primitives!$C$2:$E$4,Primitives!$C$6:$E$8,Primitives!$C$10:$E$12,Primitives!$C$14:$E$16,Primitives!$C$18:$E$20,Primitives!$C$22:$E$24,Primitives!$C$26:$E$28,Primitives!$C$30:$E$32,Primitives!$C$34:$E$36,Primitives!$C$38:$E$40,Primitives!$C$42:$E$44,Primitives!$C$46:$E$48,Primitives!$C$50:$E$52,Primitives!$C$54:$E$56,Primitives!$C$58:$E$60),$N42,AR$13))</f>
        <v>0</v>
      </c>
      <c r="AS42" s="2"/>
      <c r="AT42" s="2"/>
      <c r="AU42" s="2"/>
      <c r="AV42" s="2"/>
    </row>
    <row r="43" spans="1:48" ht="9" customHeight="1" x14ac:dyDescent="0.25">
      <c r="A43" s="5">
        <v>8</v>
      </c>
      <c r="B43" s="21"/>
      <c r="C43" s="21"/>
      <c r="D43" s="21">
        <v>1</v>
      </c>
      <c r="E43" s="2"/>
      <c r="F43" s="2"/>
      <c r="G43" s="2"/>
      <c r="H43" s="2"/>
      <c r="I43" s="2"/>
      <c r="J43" s="2"/>
      <c r="K43" s="2">
        <v>30</v>
      </c>
      <c r="L43" s="2">
        <v>10</v>
      </c>
      <c r="M43" s="69"/>
      <c r="N43" s="9">
        <v>3</v>
      </c>
      <c r="O43" s="64">
        <f>IF(AND($K43=Calc.Top, O$10=Calc.Left),Player.Direction,INDEX(CHOOSE(INDEX(MazeDef,$L43,O$11),Primitives!$C$2:$E$4,Primitives!$C$6:$E$8,Primitives!$C$10:$E$12,Primitives!$C$14:$E$16,Primitives!$C$18:$E$20,Primitives!$C$22:$E$24,Primitives!$C$26:$E$28,Primitives!$C$30:$E$32,Primitives!$C$34:$E$36,Primitives!$C$38:$E$40,Primitives!$C$42:$E$44,Primitives!$C$46:$E$48,Primitives!$C$50:$E$52,Primitives!$C$54:$E$56,Primitives!$C$58:$E$60),$N43,O$13))</f>
        <v>1</v>
      </c>
      <c r="P43" s="64">
        <f>IF(AND($K43=Calc.Top, P$10=Calc.Left),Player.Direction,INDEX(CHOOSE(INDEX(MazeDef,$L43,P$11),Primitives!$C$2:$E$4,Primitives!$C$6:$E$8,Primitives!$C$10:$E$12,Primitives!$C$14:$E$16,Primitives!$C$18:$E$20,Primitives!$C$22:$E$24,Primitives!$C$26:$E$28,Primitives!$C$30:$E$32,Primitives!$C$34:$E$36,Primitives!$C$38:$E$40,Primitives!$C$42:$E$44,Primitives!$C$46:$E$48,Primitives!$C$50:$E$52,Primitives!$C$54:$E$56,Primitives!$C$58:$E$60),$N43,P$13))</f>
        <v>1</v>
      </c>
      <c r="Q43" s="64">
        <f>IF(AND($K43=Calc.Top, Q$10=Calc.Left),Player.Direction,INDEX(CHOOSE(INDEX(MazeDef,$L43,Q$11),Primitives!$C$2:$E$4,Primitives!$C$6:$E$8,Primitives!$C$10:$E$12,Primitives!$C$14:$E$16,Primitives!$C$18:$E$20,Primitives!$C$22:$E$24,Primitives!$C$26:$E$28,Primitives!$C$30:$E$32,Primitives!$C$34:$E$36,Primitives!$C$38:$E$40,Primitives!$C$42:$E$44,Primitives!$C$46:$E$48,Primitives!$C$50:$E$52,Primitives!$C$54:$E$56,Primitives!$C$58:$E$60),$N43,Q$13))</f>
        <v>1</v>
      </c>
      <c r="R43" s="64">
        <f>IF(AND($K43=Calc.Top, R$10=Calc.Left),Player.Direction,INDEX(CHOOSE(INDEX(MazeDef,$L43,R$11),Primitives!$C$2:$E$4,Primitives!$C$6:$E$8,Primitives!$C$10:$E$12,Primitives!$C$14:$E$16,Primitives!$C$18:$E$20,Primitives!$C$22:$E$24,Primitives!$C$26:$E$28,Primitives!$C$30:$E$32,Primitives!$C$34:$E$36,Primitives!$C$38:$E$40,Primitives!$C$42:$E$44,Primitives!$C$46:$E$48,Primitives!$C$50:$E$52,Primitives!$C$54:$E$56,Primitives!$C$58:$E$60),$N43,R$13))</f>
        <v>1</v>
      </c>
      <c r="S43" s="64">
        <f>IF(AND($K43=Calc.Top, S$10=Calc.Left),Player.Direction,INDEX(CHOOSE(INDEX(MazeDef,$L43,S$11),Primitives!$C$2:$E$4,Primitives!$C$6:$E$8,Primitives!$C$10:$E$12,Primitives!$C$14:$E$16,Primitives!$C$18:$E$20,Primitives!$C$22:$E$24,Primitives!$C$26:$E$28,Primitives!$C$30:$E$32,Primitives!$C$34:$E$36,Primitives!$C$38:$E$40,Primitives!$C$42:$E$44,Primitives!$C$46:$E$48,Primitives!$C$50:$E$52,Primitives!$C$54:$E$56,Primitives!$C$58:$E$60),$N43,S$13))</f>
        <v>1</v>
      </c>
      <c r="T43" s="64">
        <f>IF(AND($K43=Calc.Top, T$10=Calc.Left),Player.Direction,INDEX(CHOOSE(INDEX(MazeDef,$L43,T$11),Primitives!$C$2:$E$4,Primitives!$C$6:$E$8,Primitives!$C$10:$E$12,Primitives!$C$14:$E$16,Primitives!$C$18:$E$20,Primitives!$C$22:$E$24,Primitives!$C$26:$E$28,Primitives!$C$30:$E$32,Primitives!$C$34:$E$36,Primitives!$C$38:$E$40,Primitives!$C$42:$E$44,Primitives!$C$46:$E$48,Primitives!$C$50:$E$52,Primitives!$C$54:$E$56,Primitives!$C$58:$E$60),$N43,T$13))</f>
        <v>1</v>
      </c>
      <c r="U43" s="64">
        <f>IF(AND($K43=Calc.Top, U$10=Calc.Left),Player.Direction,INDEX(CHOOSE(INDEX(MazeDef,$L43,U$11),Primitives!$C$2:$E$4,Primitives!$C$6:$E$8,Primitives!$C$10:$E$12,Primitives!$C$14:$E$16,Primitives!$C$18:$E$20,Primitives!$C$22:$E$24,Primitives!$C$26:$E$28,Primitives!$C$30:$E$32,Primitives!$C$34:$E$36,Primitives!$C$38:$E$40,Primitives!$C$42:$E$44,Primitives!$C$46:$E$48,Primitives!$C$50:$E$52,Primitives!$C$54:$E$56,Primitives!$C$58:$E$60),$N43,U$13))</f>
        <v>1</v>
      </c>
      <c r="V43" s="64">
        <f>IF(AND($K43=Calc.Top, V$10=Calc.Left),Player.Direction,INDEX(CHOOSE(INDEX(MazeDef,$L43,V$11),Primitives!$C$2:$E$4,Primitives!$C$6:$E$8,Primitives!$C$10:$E$12,Primitives!$C$14:$E$16,Primitives!$C$18:$E$20,Primitives!$C$22:$E$24,Primitives!$C$26:$E$28,Primitives!$C$30:$E$32,Primitives!$C$34:$E$36,Primitives!$C$38:$E$40,Primitives!$C$42:$E$44,Primitives!$C$46:$E$48,Primitives!$C$50:$E$52,Primitives!$C$54:$E$56,Primitives!$C$58:$E$60),$N43,V$13))</f>
        <v>1</v>
      </c>
      <c r="W43" s="64">
        <f>IF(AND($K43=Calc.Top, W$10=Calc.Left),Player.Direction,INDEX(CHOOSE(INDEX(MazeDef,$L43,W$11),Primitives!$C$2:$E$4,Primitives!$C$6:$E$8,Primitives!$C$10:$E$12,Primitives!$C$14:$E$16,Primitives!$C$18:$E$20,Primitives!$C$22:$E$24,Primitives!$C$26:$E$28,Primitives!$C$30:$E$32,Primitives!$C$34:$E$36,Primitives!$C$38:$E$40,Primitives!$C$42:$E$44,Primitives!$C$46:$E$48,Primitives!$C$50:$E$52,Primitives!$C$54:$E$56,Primitives!$C$58:$E$60),$N43,W$13))</f>
        <v>1</v>
      </c>
      <c r="X43" s="64">
        <f>IF(AND($K43=Calc.Top, X$10=Calc.Left),Player.Direction,INDEX(CHOOSE(INDEX(MazeDef,$L43,X$11),Primitives!$C$2:$E$4,Primitives!$C$6:$E$8,Primitives!$C$10:$E$12,Primitives!$C$14:$E$16,Primitives!$C$18:$E$20,Primitives!$C$22:$E$24,Primitives!$C$26:$E$28,Primitives!$C$30:$E$32,Primitives!$C$34:$E$36,Primitives!$C$38:$E$40,Primitives!$C$42:$E$44,Primitives!$C$46:$E$48,Primitives!$C$50:$E$52,Primitives!$C$54:$E$56,Primitives!$C$58:$E$60),$N43,X$13))</f>
        <v>1</v>
      </c>
      <c r="Y43" s="64">
        <f>IF(AND($K43=Calc.Top, Y$10=Calc.Left),Player.Direction,INDEX(CHOOSE(INDEX(MazeDef,$L43,Y$11),Primitives!$C$2:$E$4,Primitives!$C$6:$E$8,Primitives!$C$10:$E$12,Primitives!$C$14:$E$16,Primitives!$C$18:$E$20,Primitives!$C$22:$E$24,Primitives!$C$26:$E$28,Primitives!$C$30:$E$32,Primitives!$C$34:$E$36,Primitives!$C$38:$E$40,Primitives!$C$42:$E$44,Primitives!$C$46:$E$48,Primitives!$C$50:$E$52,Primitives!$C$54:$E$56,Primitives!$C$58:$E$60),$N43,Y$13))</f>
        <v>1</v>
      </c>
      <c r="Z43" s="64">
        <f>IF(AND($K43=Calc.Top, Z$10=Calc.Left),Player.Direction,INDEX(CHOOSE(INDEX(MazeDef,$L43,Z$11),Primitives!$C$2:$E$4,Primitives!$C$6:$E$8,Primitives!$C$10:$E$12,Primitives!$C$14:$E$16,Primitives!$C$18:$E$20,Primitives!$C$22:$E$24,Primitives!$C$26:$E$28,Primitives!$C$30:$E$32,Primitives!$C$34:$E$36,Primitives!$C$38:$E$40,Primitives!$C$42:$E$44,Primitives!$C$46:$E$48,Primitives!$C$50:$E$52,Primitives!$C$54:$E$56,Primitives!$C$58:$E$60),$N43,Z$13))</f>
        <v>1</v>
      </c>
      <c r="AA43" s="64">
        <f>IF(AND($K43=Calc.Top, AA$10=Calc.Left),Player.Direction,INDEX(CHOOSE(INDEX(MazeDef,$L43,AA$11),Primitives!$C$2:$E$4,Primitives!$C$6:$E$8,Primitives!$C$10:$E$12,Primitives!$C$14:$E$16,Primitives!$C$18:$E$20,Primitives!$C$22:$E$24,Primitives!$C$26:$E$28,Primitives!$C$30:$E$32,Primitives!$C$34:$E$36,Primitives!$C$38:$E$40,Primitives!$C$42:$E$44,Primitives!$C$46:$E$48,Primitives!$C$50:$E$52,Primitives!$C$54:$E$56,Primitives!$C$58:$E$60),$N43,AA$13))</f>
        <v>1</v>
      </c>
      <c r="AB43" s="64">
        <f>IF(AND($K43=Calc.Top, AB$10=Calc.Left),Player.Direction,INDEX(CHOOSE(INDEX(MazeDef,$L43,AB$11),Primitives!$C$2:$E$4,Primitives!$C$6:$E$8,Primitives!$C$10:$E$12,Primitives!$C$14:$E$16,Primitives!$C$18:$E$20,Primitives!$C$22:$E$24,Primitives!$C$26:$E$28,Primitives!$C$30:$E$32,Primitives!$C$34:$E$36,Primitives!$C$38:$E$40,Primitives!$C$42:$E$44,Primitives!$C$46:$E$48,Primitives!$C$50:$E$52,Primitives!$C$54:$E$56,Primitives!$C$58:$E$60),$N43,AB$13))</f>
        <v>1</v>
      </c>
      <c r="AC43" s="64">
        <f>IF(AND($K43=Calc.Top, AC$10=Calc.Left),Player.Direction,INDEX(CHOOSE(INDEX(MazeDef,$L43,AC$11),Primitives!$C$2:$E$4,Primitives!$C$6:$E$8,Primitives!$C$10:$E$12,Primitives!$C$14:$E$16,Primitives!$C$18:$E$20,Primitives!$C$22:$E$24,Primitives!$C$26:$E$28,Primitives!$C$30:$E$32,Primitives!$C$34:$E$36,Primitives!$C$38:$E$40,Primitives!$C$42:$E$44,Primitives!$C$46:$E$48,Primitives!$C$50:$E$52,Primitives!$C$54:$E$56,Primitives!$C$58:$E$60),$N43,AC$13))</f>
        <v>1</v>
      </c>
      <c r="AD43" s="64">
        <f>IF(AND($K43=Calc.Top, AD$10=Calc.Left),Player.Direction,INDEX(CHOOSE(INDEX(MazeDef,$L43,AD$11),Primitives!$C$2:$E$4,Primitives!$C$6:$E$8,Primitives!$C$10:$E$12,Primitives!$C$14:$E$16,Primitives!$C$18:$E$20,Primitives!$C$22:$E$24,Primitives!$C$26:$E$28,Primitives!$C$30:$E$32,Primitives!$C$34:$E$36,Primitives!$C$38:$E$40,Primitives!$C$42:$E$44,Primitives!$C$46:$E$48,Primitives!$C$50:$E$52,Primitives!$C$54:$E$56,Primitives!$C$58:$E$60),$N43,AD$13))</f>
        <v>1</v>
      </c>
      <c r="AE43" s="64">
        <f>IF(AND($K43=Calc.Top, AE$10=Calc.Left),Player.Direction,INDEX(CHOOSE(INDEX(MazeDef,$L43,AE$11),Primitives!$C$2:$E$4,Primitives!$C$6:$E$8,Primitives!$C$10:$E$12,Primitives!$C$14:$E$16,Primitives!$C$18:$E$20,Primitives!$C$22:$E$24,Primitives!$C$26:$E$28,Primitives!$C$30:$E$32,Primitives!$C$34:$E$36,Primitives!$C$38:$E$40,Primitives!$C$42:$E$44,Primitives!$C$46:$E$48,Primitives!$C$50:$E$52,Primitives!$C$54:$E$56,Primitives!$C$58:$E$60),$N43,AE$13))</f>
        <v>1</v>
      </c>
      <c r="AF43" s="64">
        <f>IF(AND($K43=Calc.Top, AF$10=Calc.Left),Player.Direction,INDEX(CHOOSE(INDEX(MazeDef,$L43,AF$11),Primitives!$C$2:$E$4,Primitives!$C$6:$E$8,Primitives!$C$10:$E$12,Primitives!$C$14:$E$16,Primitives!$C$18:$E$20,Primitives!$C$22:$E$24,Primitives!$C$26:$E$28,Primitives!$C$30:$E$32,Primitives!$C$34:$E$36,Primitives!$C$38:$E$40,Primitives!$C$42:$E$44,Primitives!$C$46:$E$48,Primitives!$C$50:$E$52,Primitives!$C$54:$E$56,Primitives!$C$58:$E$60),$N43,AF$13))</f>
        <v>1</v>
      </c>
      <c r="AG43" s="64">
        <f>IF(AND($K43=Calc.Top, AG$10=Calc.Left),Player.Direction,INDEX(CHOOSE(INDEX(MazeDef,$L43,AG$11),Primitives!$C$2:$E$4,Primitives!$C$6:$E$8,Primitives!$C$10:$E$12,Primitives!$C$14:$E$16,Primitives!$C$18:$E$20,Primitives!$C$22:$E$24,Primitives!$C$26:$E$28,Primitives!$C$30:$E$32,Primitives!$C$34:$E$36,Primitives!$C$38:$E$40,Primitives!$C$42:$E$44,Primitives!$C$46:$E$48,Primitives!$C$50:$E$52,Primitives!$C$54:$E$56,Primitives!$C$58:$E$60),$N43,AG$13))</f>
        <v>1</v>
      </c>
      <c r="AH43" s="64">
        <f>IF(AND($K43=Calc.Top, AH$10=Calc.Left),Player.Direction,INDEX(CHOOSE(INDEX(MazeDef,$L43,AH$11),Primitives!$C$2:$E$4,Primitives!$C$6:$E$8,Primitives!$C$10:$E$12,Primitives!$C$14:$E$16,Primitives!$C$18:$E$20,Primitives!$C$22:$E$24,Primitives!$C$26:$E$28,Primitives!$C$30:$E$32,Primitives!$C$34:$E$36,Primitives!$C$38:$E$40,Primitives!$C$42:$E$44,Primitives!$C$46:$E$48,Primitives!$C$50:$E$52,Primitives!$C$54:$E$56,Primitives!$C$58:$E$60),$N43,AH$13))</f>
        <v>1</v>
      </c>
      <c r="AI43" s="64">
        <f>IF(AND($K43=Calc.Top, AI$10=Calc.Left),Player.Direction,INDEX(CHOOSE(INDEX(MazeDef,$L43,AI$11),Primitives!$C$2:$E$4,Primitives!$C$6:$E$8,Primitives!$C$10:$E$12,Primitives!$C$14:$E$16,Primitives!$C$18:$E$20,Primitives!$C$22:$E$24,Primitives!$C$26:$E$28,Primitives!$C$30:$E$32,Primitives!$C$34:$E$36,Primitives!$C$38:$E$40,Primitives!$C$42:$E$44,Primitives!$C$46:$E$48,Primitives!$C$50:$E$52,Primitives!$C$54:$E$56,Primitives!$C$58:$E$60),$N43,AI$13))</f>
        <v>1</v>
      </c>
      <c r="AJ43" s="64">
        <f>IF(AND($K43=Calc.Top, AJ$10=Calc.Left),Player.Direction,INDEX(CHOOSE(INDEX(MazeDef,$L43,AJ$11),Primitives!$C$2:$E$4,Primitives!$C$6:$E$8,Primitives!$C$10:$E$12,Primitives!$C$14:$E$16,Primitives!$C$18:$E$20,Primitives!$C$22:$E$24,Primitives!$C$26:$E$28,Primitives!$C$30:$E$32,Primitives!$C$34:$E$36,Primitives!$C$38:$E$40,Primitives!$C$42:$E$44,Primitives!$C$46:$E$48,Primitives!$C$50:$E$52,Primitives!$C$54:$E$56,Primitives!$C$58:$E$60),$N43,AJ$13))</f>
        <v>1</v>
      </c>
      <c r="AK43" s="64">
        <f>IF(AND($K43=Calc.Top, AK$10=Calc.Left),Player.Direction,INDEX(CHOOSE(INDEX(MazeDef,$L43,AK$11),Primitives!$C$2:$E$4,Primitives!$C$6:$E$8,Primitives!$C$10:$E$12,Primitives!$C$14:$E$16,Primitives!$C$18:$E$20,Primitives!$C$22:$E$24,Primitives!$C$26:$E$28,Primitives!$C$30:$E$32,Primitives!$C$34:$E$36,Primitives!$C$38:$E$40,Primitives!$C$42:$E$44,Primitives!$C$46:$E$48,Primitives!$C$50:$E$52,Primitives!$C$54:$E$56,Primitives!$C$58:$E$60),$N43,AK$13))</f>
        <v>1</v>
      </c>
      <c r="AL43" s="64">
        <f>IF(AND($K43=Calc.Top, AL$10=Calc.Left),Player.Direction,INDEX(CHOOSE(INDEX(MazeDef,$L43,AL$11),Primitives!$C$2:$E$4,Primitives!$C$6:$E$8,Primitives!$C$10:$E$12,Primitives!$C$14:$E$16,Primitives!$C$18:$E$20,Primitives!$C$22:$E$24,Primitives!$C$26:$E$28,Primitives!$C$30:$E$32,Primitives!$C$34:$E$36,Primitives!$C$38:$E$40,Primitives!$C$42:$E$44,Primitives!$C$46:$E$48,Primitives!$C$50:$E$52,Primitives!$C$54:$E$56,Primitives!$C$58:$E$60),$N43,AL$13))</f>
        <v>1</v>
      </c>
      <c r="AM43" s="64">
        <f>IF(AND($K43=Calc.Top, AM$10=Calc.Left),Player.Direction,INDEX(CHOOSE(INDEX(MazeDef,$L43,AM$11),Primitives!$C$2:$E$4,Primitives!$C$6:$E$8,Primitives!$C$10:$E$12,Primitives!$C$14:$E$16,Primitives!$C$18:$E$20,Primitives!$C$22:$E$24,Primitives!$C$26:$E$28,Primitives!$C$30:$E$32,Primitives!$C$34:$E$36,Primitives!$C$38:$E$40,Primitives!$C$42:$E$44,Primitives!$C$46:$E$48,Primitives!$C$50:$E$52,Primitives!$C$54:$E$56,Primitives!$C$58:$E$60),$N43,AM$13))</f>
        <v>1</v>
      </c>
      <c r="AN43" s="64">
        <f>IF(AND($K43=Calc.Top, AN$10=Calc.Left),Player.Direction,INDEX(CHOOSE(INDEX(MazeDef,$L43,AN$11),Primitives!$C$2:$E$4,Primitives!$C$6:$E$8,Primitives!$C$10:$E$12,Primitives!$C$14:$E$16,Primitives!$C$18:$E$20,Primitives!$C$22:$E$24,Primitives!$C$26:$E$28,Primitives!$C$30:$E$32,Primitives!$C$34:$E$36,Primitives!$C$38:$E$40,Primitives!$C$42:$E$44,Primitives!$C$46:$E$48,Primitives!$C$50:$E$52,Primitives!$C$54:$E$56,Primitives!$C$58:$E$60),$N43,AN$13))</f>
        <v>1</v>
      </c>
      <c r="AO43" s="64">
        <f>IF(AND($K43=Calc.Top, AO$10=Calc.Left),Player.Direction,INDEX(CHOOSE(INDEX(MazeDef,$L43,AO$11),Primitives!$C$2:$E$4,Primitives!$C$6:$E$8,Primitives!$C$10:$E$12,Primitives!$C$14:$E$16,Primitives!$C$18:$E$20,Primitives!$C$22:$E$24,Primitives!$C$26:$E$28,Primitives!$C$30:$E$32,Primitives!$C$34:$E$36,Primitives!$C$38:$E$40,Primitives!$C$42:$E$44,Primitives!$C$46:$E$48,Primitives!$C$50:$E$52,Primitives!$C$54:$E$56,Primitives!$C$58:$E$60),$N43,AO$13))</f>
        <v>1</v>
      </c>
      <c r="AP43" s="64">
        <f>IF(AND($K43=Calc.Top, AP$10=Calc.Left),Player.Direction,INDEX(CHOOSE(INDEX(MazeDef,$L43,AP$11),Primitives!$C$2:$E$4,Primitives!$C$6:$E$8,Primitives!$C$10:$E$12,Primitives!$C$14:$E$16,Primitives!$C$18:$E$20,Primitives!$C$22:$E$24,Primitives!$C$26:$E$28,Primitives!$C$30:$E$32,Primitives!$C$34:$E$36,Primitives!$C$38:$E$40,Primitives!$C$42:$E$44,Primitives!$C$46:$E$48,Primitives!$C$50:$E$52,Primitives!$C$54:$E$56,Primitives!$C$58:$E$60),$N43,AP$13))</f>
        <v>1</v>
      </c>
      <c r="AQ43" s="64">
        <f>IF(AND($K43=Calc.Top, AQ$10=Calc.Left),Player.Direction,INDEX(CHOOSE(INDEX(MazeDef,$L43,AQ$11),Primitives!$C$2:$E$4,Primitives!$C$6:$E$8,Primitives!$C$10:$E$12,Primitives!$C$14:$E$16,Primitives!$C$18:$E$20,Primitives!$C$22:$E$24,Primitives!$C$26:$E$28,Primitives!$C$30:$E$32,Primitives!$C$34:$E$36,Primitives!$C$38:$E$40,Primitives!$C$42:$E$44,Primitives!$C$46:$E$48,Primitives!$C$50:$E$52,Primitives!$C$54:$E$56,Primitives!$C$58:$E$60),$N43,AQ$13))</f>
        <v>1</v>
      </c>
      <c r="AR43" s="64">
        <f>IF(AND($K43=Calc.Top, AR$10=Calc.Left),Player.Direction,INDEX(CHOOSE(INDEX(MazeDef,$L43,AR$11),Primitives!$C$2:$E$4,Primitives!$C$6:$E$8,Primitives!$C$10:$E$12,Primitives!$C$14:$E$16,Primitives!$C$18:$E$20,Primitives!$C$22:$E$24,Primitives!$C$26:$E$28,Primitives!$C$30:$E$32,Primitives!$C$34:$E$36,Primitives!$C$38:$E$40,Primitives!$C$42:$E$44,Primitives!$C$46:$E$48,Primitives!$C$50:$E$52,Primitives!$C$54:$E$56,Primitives!$C$58:$E$60),$N43,AR$13))</f>
        <v>1</v>
      </c>
      <c r="AS43" s="2"/>
      <c r="AT43" s="2"/>
      <c r="AU43" s="2"/>
      <c r="AV43" s="2"/>
    </row>
    <row r="44" spans="1:48" x14ac:dyDescent="0.25">
      <c r="A44" s="5"/>
      <c r="B44" s="21">
        <v>1</v>
      </c>
      <c r="C44" s="21">
        <v>1</v>
      </c>
      <c r="D44" s="21">
        <v>1</v>
      </c>
      <c r="E44" s="2"/>
      <c r="F44" s="2"/>
      <c r="G44" s="2"/>
      <c r="H44" s="2"/>
      <c r="I44" s="2"/>
      <c r="J44" s="2"/>
      <c r="K44" s="2">
        <v>31</v>
      </c>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5"/>
      <c r="B45" s="2"/>
      <c r="C45" s="2"/>
      <c r="D45" s="2"/>
      <c r="E45" s="2"/>
    </row>
    <row r="46" spans="1:48" x14ac:dyDescent="0.25">
      <c r="A46" s="5"/>
      <c r="B46" s="21">
        <v>1</v>
      </c>
      <c r="C46" s="21"/>
      <c r="D46" s="21">
        <v>1</v>
      </c>
      <c r="E46" s="2"/>
    </row>
    <row r="47" spans="1:48" x14ac:dyDescent="0.25">
      <c r="A47" s="5">
        <v>9</v>
      </c>
      <c r="B47" s="21">
        <v>1</v>
      </c>
      <c r="C47" s="21"/>
      <c r="D47" s="21"/>
      <c r="E47" s="2"/>
    </row>
    <row r="48" spans="1:48" x14ac:dyDescent="0.25">
      <c r="A48" s="5"/>
      <c r="B48" s="21">
        <v>1</v>
      </c>
      <c r="C48" s="21">
        <v>1</v>
      </c>
      <c r="D48" s="21">
        <v>1</v>
      </c>
      <c r="E48" s="2"/>
    </row>
    <row r="49" spans="1:5" x14ac:dyDescent="0.25">
      <c r="A49" s="5"/>
      <c r="B49" s="2"/>
      <c r="C49" s="2"/>
      <c r="D49" s="2"/>
      <c r="E49" s="2"/>
    </row>
    <row r="50" spans="1:5" x14ac:dyDescent="0.25">
      <c r="A50" s="66">
        <v>10</v>
      </c>
      <c r="B50" s="21">
        <v>1</v>
      </c>
      <c r="C50" s="21"/>
      <c r="D50" s="21">
        <v>1</v>
      </c>
      <c r="E50" s="2"/>
    </row>
    <row r="51" spans="1:5" x14ac:dyDescent="0.25">
      <c r="A51" s="66"/>
      <c r="B51" s="21"/>
      <c r="C51" s="21"/>
      <c r="D51" s="21"/>
      <c r="E51" s="2"/>
    </row>
    <row r="52" spans="1:5" x14ac:dyDescent="0.25">
      <c r="A52" s="66"/>
      <c r="B52" s="21">
        <v>1</v>
      </c>
      <c r="C52" s="21">
        <v>1</v>
      </c>
      <c r="D52" s="21">
        <v>1</v>
      </c>
      <c r="E52" s="2"/>
    </row>
    <row r="53" spans="1:5" x14ac:dyDescent="0.25">
      <c r="A53" s="5"/>
      <c r="B53" s="2"/>
      <c r="C53" s="2"/>
      <c r="D53" s="2"/>
      <c r="E53" s="2"/>
    </row>
    <row r="54" spans="1:5" x14ac:dyDescent="0.25">
      <c r="A54" s="66">
        <v>11</v>
      </c>
      <c r="B54" s="21">
        <v>1</v>
      </c>
      <c r="C54" s="21">
        <v>1</v>
      </c>
      <c r="D54" s="21">
        <v>1</v>
      </c>
      <c r="E54" s="2"/>
    </row>
    <row r="55" spans="1:5" x14ac:dyDescent="0.25">
      <c r="A55" s="66"/>
      <c r="B55" s="21"/>
      <c r="C55" s="21"/>
      <c r="D55" s="21"/>
      <c r="E55" s="2"/>
    </row>
    <row r="56" spans="1:5" x14ac:dyDescent="0.25">
      <c r="A56" s="66"/>
      <c r="B56" s="21">
        <v>1</v>
      </c>
      <c r="C56" s="21"/>
      <c r="D56" s="21">
        <v>1</v>
      </c>
      <c r="E56" s="2"/>
    </row>
    <row r="57" spans="1:5" x14ac:dyDescent="0.25">
      <c r="A57" s="5"/>
      <c r="B57" s="2"/>
      <c r="C57" s="2"/>
      <c r="D57" s="2"/>
      <c r="E57" s="2"/>
    </row>
    <row r="58" spans="1:5" x14ac:dyDescent="0.25">
      <c r="A58" s="66">
        <v>12</v>
      </c>
      <c r="B58" s="21">
        <v>1</v>
      </c>
      <c r="C58" s="21"/>
      <c r="D58" s="21">
        <v>1</v>
      </c>
      <c r="E58" s="2"/>
    </row>
    <row r="59" spans="1:5" x14ac:dyDescent="0.25">
      <c r="A59" s="66"/>
      <c r="B59" s="21"/>
      <c r="C59" s="21"/>
      <c r="D59" s="21">
        <v>1</v>
      </c>
      <c r="E59" s="2"/>
    </row>
    <row r="60" spans="1:5" x14ac:dyDescent="0.25">
      <c r="A60" s="66"/>
      <c r="B60" s="21">
        <v>1</v>
      </c>
      <c r="C60" s="21"/>
      <c r="D60" s="21">
        <v>1</v>
      </c>
      <c r="E60" s="2"/>
    </row>
    <row r="61" spans="1:5" x14ac:dyDescent="0.25">
      <c r="A61" s="5"/>
      <c r="B61" s="2"/>
      <c r="C61" s="2"/>
      <c r="D61" s="2"/>
      <c r="E61" s="2"/>
    </row>
    <row r="62" spans="1:5" x14ac:dyDescent="0.25">
      <c r="A62" s="66">
        <v>13</v>
      </c>
      <c r="B62" s="21">
        <v>1</v>
      </c>
      <c r="C62" s="21"/>
      <c r="D62" s="21">
        <v>1</v>
      </c>
      <c r="E62" s="2"/>
    </row>
    <row r="63" spans="1:5" x14ac:dyDescent="0.25">
      <c r="A63" s="66"/>
      <c r="B63" s="21">
        <v>1</v>
      </c>
      <c r="C63" s="21"/>
      <c r="D63" s="21"/>
      <c r="E63" s="2"/>
    </row>
    <row r="64" spans="1:5" x14ac:dyDescent="0.25">
      <c r="A64" s="66"/>
      <c r="B64" s="21">
        <v>1</v>
      </c>
      <c r="C64" s="21"/>
      <c r="D64" s="21">
        <v>1</v>
      </c>
      <c r="E64" s="2"/>
    </row>
    <row r="65" spans="1:5" x14ac:dyDescent="0.25">
      <c r="A65" s="2"/>
      <c r="B65" s="2"/>
      <c r="C65" s="2"/>
      <c r="D65" s="2"/>
      <c r="E65" s="2"/>
    </row>
    <row r="66" spans="1:5" x14ac:dyDescent="0.25">
      <c r="A66" s="2">
        <v>14</v>
      </c>
      <c r="B66" s="21">
        <v>1</v>
      </c>
      <c r="C66" s="21"/>
      <c r="D66" s="21">
        <v>1</v>
      </c>
      <c r="E66" s="2"/>
    </row>
    <row r="67" spans="1:5" x14ac:dyDescent="0.25">
      <c r="A67" s="2"/>
      <c r="B67" s="21"/>
      <c r="C67" s="21"/>
      <c r="D67" s="21"/>
      <c r="E67" s="2"/>
    </row>
    <row r="68" spans="1:5" x14ac:dyDescent="0.25">
      <c r="A68" s="2"/>
      <c r="B68" s="21">
        <v>1</v>
      </c>
      <c r="C68" s="21"/>
      <c r="D68" s="21">
        <v>1</v>
      </c>
      <c r="E68" s="2"/>
    </row>
    <row r="69" spans="1:5" x14ac:dyDescent="0.25">
      <c r="A69" s="2"/>
      <c r="B69" s="2"/>
      <c r="C69" s="2"/>
      <c r="D69" s="2"/>
      <c r="E69" s="2"/>
    </row>
    <row r="70" spans="1:5" x14ac:dyDescent="0.25">
      <c r="A70" s="2">
        <v>15</v>
      </c>
      <c r="B70" s="21">
        <v>1</v>
      </c>
      <c r="C70" s="21"/>
      <c r="D70" s="21">
        <v>1</v>
      </c>
      <c r="E70" s="2"/>
    </row>
    <row r="71" spans="1:5" x14ac:dyDescent="0.25">
      <c r="A71" s="2"/>
      <c r="B71" s="21">
        <v>1</v>
      </c>
      <c r="C71" s="21"/>
      <c r="D71" s="21">
        <v>1</v>
      </c>
      <c r="E71" s="2"/>
    </row>
    <row r="72" spans="1:5" x14ac:dyDescent="0.25">
      <c r="A72" s="2"/>
      <c r="B72" s="21">
        <v>1</v>
      </c>
      <c r="C72" s="21"/>
      <c r="D72" s="21">
        <v>1</v>
      </c>
      <c r="E72" s="2"/>
    </row>
    <row r="73" spans="1:5" x14ac:dyDescent="0.25">
      <c r="A73" s="2"/>
      <c r="B73" s="2"/>
      <c r="C73" s="2"/>
      <c r="D73" s="2"/>
      <c r="E73" s="2"/>
    </row>
  </sheetData>
  <mergeCells count="28">
    <mergeCell ref="AD12:AF12"/>
    <mergeCell ref="M23:M25"/>
    <mergeCell ref="M26:M28"/>
    <mergeCell ref="M29:M31"/>
    <mergeCell ref="M32:M34"/>
    <mergeCell ref="AA12:AC12"/>
    <mergeCell ref="M35:M37"/>
    <mergeCell ref="AX1:AZ1"/>
    <mergeCell ref="BB1:BD1"/>
    <mergeCell ref="BF1:BH1"/>
    <mergeCell ref="BJ1:BL1"/>
    <mergeCell ref="M20:M22"/>
    <mergeCell ref="AG12:AI12"/>
    <mergeCell ref="AJ12:AL12"/>
    <mergeCell ref="AM12:AO12"/>
    <mergeCell ref="AP12:AR12"/>
    <mergeCell ref="M14:M16"/>
    <mergeCell ref="M17:M19"/>
    <mergeCell ref="O12:Q12"/>
    <mergeCell ref="R12:T12"/>
    <mergeCell ref="U12:W12"/>
    <mergeCell ref="X12:Z12"/>
    <mergeCell ref="A50:A52"/>
    <mergeCell ref="A54:A56"/>
    <mergeCell ref="A58:A60"/>
    <mergeCell ref="A62:A64"/>
    <mergeCell ref="M38:M40"/>
    <mergeCell ref="M41:M43"/>
  </mergeCells>
  <conditionalFormatting sqref="O14:AR43">
    <cfRule type="cellIs" dxfId="33" priority="21" operator="equal">
      <formula>0</formula>
    </cfRule>
    <cfRule type="cellIs" dxfId="32" priority="22" operator="equal">
      <formula>1</formula>
    </cfRule>
  </conditionalFormatting>
  <conditionalFormatting sqref="B66:D68 N2:AF3 N4:Q4 S4:AF4 BM3">
    <cfRule type="cellIs" dxfId="31" priority="2" operator="equal">
      <formula>1</formula>
    </cfRule>
  </conditionalFormatting>
  <conditionalFormatting sqref="AH2:AJ4">
    <cfRule type="cellIs" dxfId="30" priority="19" operator="equal">
      <formula>1</formula>
    </cfRule>
  </conditionalFormatting>
  <conditionalFormatting sqref="AL2:AN4">
    <cfRule type="cellIs" dxfId="29" priority="18" operator="equal">
      <formula>1</formula>
    </cfRule>
  </conditionalFormatting>
  <conditionalFormatting sqref="AP2:AR4">
    <cfRule type="cellIs" dxfId="28" priority="17" operator="equal">
      <formula>1</formula>
    </cfRule>
  </conditionalFormatting>
  <conditionalFormatting sqref="AT2:AV4">
    <cfRule type="cellIs" dxfId="27" priority="16" operator="equal">
      <formula>1</formula>
    </cfRule>
  </conditionalFormatting>
  <conditionalFormatting sqref="AX2:AZ4">
    <cfRule type="cellIs" dxfId="26" priority="15" operator="equal">
      <formula>1</formula>
    </cfRule>
  </conditionalFormatting>
  <conditionalFormatting sqref="BB2:BD4">
    <cfRule type="cellIs" dxfId="25" priority="14" operator="equal">
      <formula>1</formula>
    </cfRule>
  </conditionalFormatting>
  <conditionalFormatting sqref="BF2:BH4">
    <cfRule type="cellIs" dxfId="24" priority="13" operator="equal">
      <formula>1</formula>
    </cfRule>
  </conditionalFormatting>
  <conditionalFormatting sqref="BJ2:BL4">
    <cfRule type="cellIs" dxfId="23" priority="12" operator="equal">
      <formula>1</formula>
    </cfRule>
  </conditionalFormatting>
  <conditionalFormatting sqref="B14:D32">
    <cfRule type="cellIs" dxfId="22" priority="11" operator="equal">
      <formula>1</formula>
    </cfRule>
  </conditionalFormatting>
  <conditionalFormatting sqref="B34:D36">
    <cfRule type="cellIs" dxfId="21" priority="10" operator="equal">
      <formula>1</formula>
    </cfRule>
  </conditionalFormatting>
  <conditionalFormatting sqref="B38:D40">
    <cfRule type="cellIs" dxfId="20" priority="9" operator="equal">
      <formula>1</formula>
    </cfRule>
  </conditionalFormatting>
  <conditionalFormatting sqref="B42:D44">
    <cfRule type="cellIs" dxfId="19" priority="8" operator="equal">
      <formula>1</formula>
    </cfRule>
  </conditionalFormatting>
  <conditionalFormatting sqref="B46:D48">
    <cfRule type="cellIs" dxfId="18" priority="7" operator="equal">
      <formula>1</formula>
    </cfRule>
  </conditionalFormatting>
  <conditionalFormatting sqref="B50:D52">
    <cfRule type="cellIs" dxfId="17" priority="6" operator="equal">
      <formula>1</formula>
    </cfRule>
  </conditionalFormatting>
  <conditionalFormatting sqref="B54:D56">
    <cfRule type="cellIs" dxfId="16" priority="5" operator="equal">
      <formula>1</formula>
    </cfRule>
  </conditionalFormatting>
  <conditionalFormatting sqref="B58:D60">
    <cfRule type="cellIs" dxfId="15" priority="4" operator="equal">
      <formula>1</formula>
    </cfRule>
  </conditionalFormatting>
  <conditionalFormatting sqref="B62:D64">
    <cfRule type="cellIs" dxfId="14" priority="3" operator="equal">
      <formula>1</formula>
    </cfRule>
  </conditionalFormatting>
  <conditionalFormatting sqref="B70:D72">
    <cfRule type="cellIs" dxfId="13" priority="1" operator="equal">
      <formula>1</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E60"/>
  <sheetViews>
    <sheetView topLeftCell="A33" workbookViewId="0">
      <selection activeCell="I72" sqref="I72"/>
    </sheetView>
  </sheetViews>
  <sheetFormatPr defaultRowHeight="15" x14ac:dyDescent="0.25"/>
  <cols>
    <col min="1" max="1" width="7.28515625" customWidth="1"/>
    <col min="2" max="2" width="2.7109375" customWidth="1"/>
    <col min="3" max="4" width="3" customWidth="1"/>
    <col min="5" max="5" width="2.5703125" customWidth="1"/>
  </cols>
  <sheetData>
    <row r="2" spans="1:5" x14ac:dyDescent="0.25">
      <c r="A2">
        <v>1</v>
      </c>
      <c r="C2" s="1">
        <v>1</v>
      </c>
      <c r="D2" s="1">
        <v>1</v>
      </c>
      <c r="E2" s="1">
        <v>1</v>
      </c>
    </row>
    <row r="3" spans="1:5" x14ac:dyDescent="0.25">
      <c r="C3" s="1">
        <v>1</v>
      </c>
      <c r="D3" s="1">
        <v>0</v>
      </c>
      <c r="E3" s="1">
        <v>0</v>
      </c>
    </row>
    <row r="4" spans="1:5" x14ac:dyDescent="0.25">
      <c r="C4" s="1">
        <v>1</v>
      </c>
      <c r="D4" s="1">
        <v>1</v>
      </c>
      <c r="E4" s="1">
        <v>1</v>
      </c>
    </row>
    <row r="5" spans="1:5" x14ac:dyDescent="0.25">
      <c r="C5" s="1"/>
      <c r="D5" s="1"/>
      <c r="E5" s="1"/>
    </row>
    <row r="6" spans="1:5" x14ac:dyDescent="0.25">
      <c r="A6">
        <v>2</v>
      </c>
      <c r="C6" s="1">
        <v>1</v>
      </c>
      <c r="D6" s="1">
        <v>1</v>
      </c>
      <c r="E6" s="1">
        <v>1</v>
      </c>
    </row>
    <row r="7" spans="1:5" x14ac:dyDescent="0.25">
      <c r="C7" s="1">
        <v>0</v>
      </c>
      <c r="D7" s="1">
        <v>0</v>
      </c>
      <c r="E7" s="1">
        <v>1</v>
      </c>
    </row>
    <row r="8" spans="1:5" x14ac:dyDescent="0.25">
      <c r="C8" s="1">
        <v>1</v>
      </c>
      <c r="D8" s="1">
        <v>1</v>
      </c>
      <c r="E8" s="1">
        <v>1</v>
      </c>
    </row>
    <row r="9" spans="1:5" x14ac:dyDescent="0.25">
      <c r="C9" s="1"/>
      <c r="D9" s="1"/>
      <c r="E9" s="1"/>
    </row>
    <row r="10" spans="1:5" x14ac:dyDescent="0.25">
      <c r="A10">
        <v>3</v>
      </c>
      <c r="C10" s="1">
        <v>1</v>
      </c>
      <c r="D10" s="1">
        <v>1</v>
      </c>
      <c r="E10" s="1">
        <v>1</v>
      </c>
    </row>
    <row r="11" spans="1:5" x14ac:dyDescent="0.25">
      <c r="C11" s="1">
        <v>1</v>
      </c>
      <c r="D11" s="1">
        <v>0</v>
      </c>
      <c r="E11" s="1">
        <v>1</v>
      </c>
    </row>
    <row r="12" spans="1:5" x14ac:dyDescent="0.25">
      <c r="C12" s="1">
        <v>1</v>
      </c>
      <c r="D12" s="1">
        <v>0</v>
      </c>
      <c r="E12" s="1">
        <v>1</v>
      </c>
    </row>
    <row r="13" spans="1:5" x14ac:dyDescent="0.25">
      <c r="C13" s="1"/>
      <c r="D13" s="1"/>
      <c r="E13" s="1"/>
    </row>
    <row r="14" spans="1:5" x14ac:dyDescent="0.25">
      <c r="A14">
        <v>4</v>
      </c>
      <c r="C14" s="1">
        <v>1</v>
      </c>
      <c r="D14" s="1">
        <v>0</v>
      </c>
      <c r="E14" s="1">
        <v>1</v>
      </c>
    </row>
    <row r="15" spans="1:5" x14ac:dyDescent="0.25">
      <c r="C15" s="1">
        <v>1</v>
      </c>
      <c r="D15" s="1">
        <v>0</v>
      </c>
      <c r="E15" s="1">
        <v>1</v>
      </c>
    </row>
    <row r="16" spans="1:5" x14ac:dyDescent="0.25">
      <c r="C16" s="1">
        <v>1</v>
      </c>
      <c r="D16" s="1">
        <v>1</v>
      </c>
      <c r="E16" s="1">
        <v>1</v>
      </c>
    </row>
    <row r="17" spans="1:5" x14ac:dyDescent="0.25">
      <c r="C17" s="1"/>
      <c r="D17" s="1"/>
      <c r="E17" s="1"/>
    </row>
    <row r="18" spans="1:5" x14ac:dyDescent="0.25">
      <c r="A18">
        <v>5</v>
      </c>
      <c r="C18" s="1">
        <v>1</v>
      </c>
      <c r="D18" s="1">
        <v>1</v>
      </c>
      <c r="E18" s="1">
        <v>1</v>
      </c>
    </row>
    <row r="19" spans="1:5" x14ac:dyDescent="0.25">
      <c r="C19" s="1">
        <v>0</v>
      </c>
      <c r="D19" s="1">
        <v>0</v>
      </c>
      <c r="E19" s="1">
        <v>0</v>
      </c>
    </row>
    <row r="20" spans="1:5" x14ac:dyDescent="0.25">
      <c r="C20" s="1">
        <v>1</v>
      </c>
      <c r="D20" s="1">
        <v>1</v>
      </c>
      <c r="E20" s="1">
        <v>1</v>
      </c>
    </row>
    <row r="22" spans="1:5" x14ac:dyDescent="0.25">
      <c r="A22">
        <v>6</v>
      </c>
      <c r="C22" s="1">
        <v>1</v>
      </c>
      <c r="D22" s="1">
        <v>1</v>
      </c>
      <c r="E22" s="1">
        <v>1</v>
      </c>
    </row>
    <row r="23" spans="1:5" x14ac:dyDescent="0.25">
      <c r="C23" s="1">
        <v>0</v>
      </c>
      <c r="D23" s="1">
        <v>0</v>
      </c>
      <c r="E23" s="1">
        <v>1</v>
      </c>
    </row>
    <row r="24" spans="1:5" x14ac:dyDescent="0.25">
      <c r="C24" s="1">
        <v>1</v>
      </c>
      <c r="D24" s="1">
        <v>0</v>
      </c>
      <c r="E24" s="1">
        <v>1</v>
      </c>
    </row>
    <row r="26" spans="1:5" x14ac:dyDescent="0.25">
      <c r="A26">
        <v>7</v>
      </c>
      <c r="C26" s="1">
        <v>1</v>
      </c>
      <c r="D26" s="1">
        <v>1</v>
      </c>
      <c r="E26" s="1">
        <v>1</v>
      </c>
    </row>
    <row r="27" spans="1:5" x14ac:dyDescent="0.25">
      <c r="C27" s="1">
        <v>1</v>
      </c>
      <c r="D27" s="1">
        <v>0</v>
      </c>
      <c r="E27" s="1">
        <v>0</v>
      </c>
    </row>
    <row r="28" spans="1:5" x14ac:dyDescent="0.25">
      <c r="C28" s="1">
        <v>1</v>
      </c>
      <c r="D28" s="1">
        <v>0</v>
      </c>
      <c r="E28" s="1">
        <v>1</v>
      </c>
    </row>
    <row r="30" spans="1:5" x14ac:dyDescent="0.25">
      <c r="A30">
        <v>8</v>
      </c>
      <c r="C30" s="1">
        <v>1</v>
      </c>
      <c r="D30" s="1">
        <v>0</v>
      </c>
      <c r="E30" s="1">
        <v>1</v>
      </c>
    </row>
    <row r="31" spans="1:5" x14ac:dyDescent="0.25">
      <c r="C31" s="1">
        <v>0</v>
      </c>
      <c r="D31" s="1">
        <v>0</v>
      </c>
      <c r="E31" s="1">
        <v>1</v>
      </c>
    </row>
    <row r="32" spans="1:5" x14ac:dyDescent="0.25">
      <c r="C32" s="1">
        <v>1</v>
      </c>
      <c r="D32" s="1">
        <v>1</v>
      </c>
      <c r="E32" s="1">
        <v>1</v>
      </c>
    </row>
    <row r="34" spans="1:5" x14ac:dyDescent="0.25">
      <c r="A34">
        <v>9</v>
      </c>
      <c r="C34" s="1">
        <v>1</v>
      </c>
      <c r="D34" s="1">
        <v>0</v>
      </c>
      <c r="E34" s="1">
        <v>1</v>
      </c>
    </row>
    <row r="35" spans="1:5" x14ac:dyDescent="0.25">
      <c r="C35" s="1">
        <v>1</v>
      </c>
      <c r="D35" s="1">
        <v>0</v>
      </c>
      <c r="E35" s="1">
        <v>0</v>
      </c>
    </row>
    <row r="36" spans="1:5" x14ac:dyDescent="0.25">
      <c r="C36" s="1">
        <v>1</v>
      </c>
      <c r="D36" s="1">
        <v>1</v>
      </c>
      <c r="E36" s="1">
        <v>1</v>
      </c>
    </row>
    <row r="38" spans="1:5" x14ac:dyDescent="0.25">
      <c r="A38">
        <v>10</v>
      </c>
      <c r="C38" s="1">
        <v>1</v>
      </c>
      <c r="D38" s="1">
        <v>0</v>
      </c>
      <c r="E38" s="1">
        <v>1</v>
      </c>
    </row>
    <row r="39" spans="1:5" x14ac:dyDescent="0.25">
      <c r="C39" s="1">
        <v>0</v>
      </c>
      <c r="D39" s="1">
        <v>0</v>
      </c>
      <c r="E39" s="1">
        <v>0</v>
      </c>
    </row>
    <row r="40" spans="1:5" x14ac:dyDescent="0.25">
      <c r="C40" s="1">
        <v>1</v>
      </c>
      <c r="D40" s="1">
        <v>1</v>
      </c>
      <c r="E40" s="1">
        <v>1</v>
      </c>
    </row>
    <row r="42" spans="1:5" x14ac:dyDescent="0.25">
      <c r="A42">
        <v>11</v>
      </c>
      <c r="C42" s="1">
        <v>1</v>
      </c>
      <c r="D42" s="1">
        <v>1</v>
      </c>
      <c r="E42" s="1">
        <v>1</v>
      </c>
    </row>
    <row r="43" spans="1:5" x14ac:dyDescent="0.25">
      <c r="C43" s="1">
        <v>0</v>
      </c>
      <c r="D43" s="1">
        <v>0</v>
      </c>
      <c r="E43" s="1">
        <v>0</v>
      </c>
    </row>
    <row r="44" spans="1:5" x14ac:dyDescent="0.25">
      <c r="C44" s="1">
        <v>1</v>
      </c>
      <c r="D44" s="1">
        <v>0</v>
      </c>
      <c r="E44" s="1">
        <v>1</v>
      </c>
    </row>
    <row r="46" spans="1:5" x14ac:dyDescent="0.25">
      <c r="A46">
        <v>12</v>
      </c>
      <c r="C46" s="1">
        <v>1</v>
      </c>
      <c r="D46" s="1">
        <v>0</v>
      </c>
      <c r="E46" s="1">
        <v>1</v>
      </c>
    </row>
    <row r="47" spans="1:5" x14ac:dyDescent="0.25">
      <c r="C47" s="1">
        <v>0</v>
      </c>
      <c r="D47" s="1">
        <v>0</v>
      </c>
      <c r="E47" s="1">
        <v>1</v>
      </c>
    </row>
    <row r="48" spans="1:5" x14ac:dyDescent="0.25">
      <c r="C48" s="1">
        <v>1</v>
      </c>
      <c r="D48" s="1">
        <v>0</v>
      </c>
      <c r="E48" s="1">
        <v>1</v>
      </c>
    </row>
    <row r="50" spans="1:5" x14ac:dyDescent="0.25">
      <c r="A50">
        <v>13</v>
      </c>
      <c r="C50" s="1">
        <v>1</v>
      </c>
      <c r="D50" s="1">
        <v>0</v>
      </c>
      <c r="E50" s="1">
        <v>1</v>
      </c>
    </row>
    <row r="51" spans="1:5" x14ac:dyDescent="0.25">
      <c r="C51" s="1">
        <v>1</v>
      </c>
      <c r="D51" s="1">
        <v>0</v>
      </c>
      <c r="E51" s="1">
        <v>0</v>
      </c>
    </row>
    <row r="52" spans="1:5" x14ac:dyDescent="0.25">
      <c r="C52" s="1">
        <v>1</v>
      </c>
      <c r="D52" s="1">
        <v>0</v>
      </c>
      <c r="E52" s="1">
        <v>1</v>
      </c>
    </row>
    <row r="54" spans="1:5" x14ac:dyDescent="0.25">
      <c r="A54">
        <v>14</v>
      </c>
      <c r="C54" s="1">
        <v>1</v>
      </c>
      <c r="D54" s="1">
        <v>0</v>
      </c>
      <c r="E54" s="1">
        <v>1</v>
      </c>
    </row>
    <row r="55" spans="1:5" x14ac:dyDescent="0.25">
      <c r="C55" s="1">
        <v>0</v>
      </c>
      <c r="D55" s="1">
        <v>0</v>
      </c>
      <c r="E55" s="1">
        <v>0</v>
      </c>
    </row>
    <row r="56" spans="1:5" x14ac:dyDescent="0.25">
      <c r="C56" s="1">
        <v>1</v>
      </c>
      <c r="D56" s="1">
        <v>0</v>
      </c>
      <c r="E56" s="1">
        <v>1</v>
      </c>
    </row>
    <row r="58" spans="1:5" x14ac:dyDescent="0.25">
      <c r="A58">
        <v>15</v>
      </c>
      <c r="C58" s="1">
        <v>1</v>
      </c>
      <c r="D58" s="1">
        <v>0</v>
      </c>
      <c r="E58" s="1">
        <v>1</v>
      </c>
    </row>
    <row r="59" spans="1:5" x14ac:dyDescent="0.25">
      <c r="C59" s="1">
        <v>1</v>
      </c>
      <c r="D59" s="1">
        <v>0</v>
      </c>
      <c r="E59" s="1">
        <v>1</v>
      </c>
    </row>
    <row r="60" spans="1:5" x14ac:dyDescent="0.25">
      <c r="C60" s="1">
        <v>1</v>
      </c>
      <c r="D60" s="1">
        <v>0</v>
      </c>
      <c r="E60" s="1">
        <v>1</v>
      </c>
    </row>
  </sheetData>
  <conditionalFormatting sqref="C2:E20">
    <cfRule type="cellIs" dxfId="12" priority="11" operator="equal">
      <formula>1</formula>
    </cfRule>
  </conditionalFormatting>
  <conditionalFormatting sqref="C22:E24">
    <cfRule type="cellIs" dxfId="11" priority="10" operator="equal">
      <formula>1</formula>
    </cfRule>
  </conditionalFormatting>
  <conditionalFormatting sqref="C26:E28">
    <cfRule type="cellIs" dxfId="10" priority="9" operator="equal">
      <formula>1</formula>
    </cfRule>
  </conditionalFormatting>
  <conditionalFormatting sqref="C30:E32">
    <cfRule type="cellIs" dxfId="9" priority="8" operator="equal">
      <formula>1</formula>
    </cfRule>
  </conditionalFormatting>
  <conditionalFormatting sqref="C34:E36">
    <cfRule type="cellIs" dxfId="8" priority="7" operator="equal">
      <formula>1</formula>
    </cfRule>
  </conditionalFormatting>
  <conditionalFormatting sqref="C38:E40">
    <cfRule type="cellIs" dxfId="7" priority="6" operator="equal">
      <formula>1</formula>
    </cfRule>
  </conditionalFormatting>
  <conditionalFormatting sqref="C42:E44">
    <cfRule type="cellIs" dxfId="6" priority="5" operator="equal">
      <formula>1</formula>
    </cfRule>
  </conditionalFormatting>
  <conditionalFormatting sqref="C46:E48">
    <cfRule type="cellIs" dxfId="5" priority="4" operator="equal">
      <formula>1</formula>
    </cfRule>
  </conditionalFormatting>
  <conditionalFormatting sqref="C50:E52">
    <cfRule type="cellIs" dxfId="4" priority="3" operator="equal">
      <formula>1</formula>
    </cfRule>
  </conditionalFormatting>
  <conditionalFormatting sqref="C54:E56">
    <cfRule type="cellIs" dxfId="3" priority="2" operator="equal">
      <formula>1</formula>
    </cfRule>
  </conditionalFormatting>
  <conditionalFormatting sqref="C58:E60">
    <cfRule type="cellIs" dxfId="2" priority="1" operator="equal">
      <formula>1</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AR35"/>
  <sheetViews>
    <sheetView zoomScale="80" zoomScaleNormal="80" workbookViewId="0">
      <selection activeCell="K25" sqref="K25"/>
    </sheetView>
  </sheetViews>
  <sheetFormatPr defaultRowHeight="15" x14ac:dyDescent="0.25"/>
  <cols>
    <col min="2" max="2" width="10.140625" customWidth="1"/>
    <col min="3" max="3" width="6.28515625" customWidth="1"/>
    <col min="4" max="4" width="12.140625" customWidth="1"/>
    <col min="5" max="5" width="2.28515625" customWidth="1"/>
    <col min="6" max="7" width="2" customWidth="1"/>
    <col min="8" max="8" width="3.140625" customWidth="1"/>
    <col min="9" max="9" width="4.42578125" customWidth="1"/>
    <col min="10" max="10" width="4.28515625" customWidth="1"/>
    <col min="11" max="11" width="3.85546875" customWidth="1"/>
    <col min="12" max="12" width="4.28515625" customWidth="1"/>
    <col min="13" max="16" width="4.5703125" customWidth="1"/>
    <col min="21" max="21" width="4.42578125" customWidth="1"/>
    <col min="22" max="31" width="3.42578125" customWidth="1"/>
    <col min="32" max="32" width="3.85546875" customWidth="1"/>
    <col min="33" max="33" width="3.42578125" customWidth="1"/>
    <col min="34" max="39" width="6" customWidth="1"/>
    <col min="40" max="40" width="5" customWidth="1"/>
    <col min="41" max="41" width="3.42578125" customWidth="1"/>
  </cols>
  <sheetData>
    <row r="2" spans="2:42" x14ac:dyDescent="0.25">
      <c r="B2" t="s">
        <v>4</v>
      </c>
      <c r="C2" s="26" t="s">
        <v>25</v>
      </c>
      <c r="D2" s="63" t="str">
        <f>IF(Calc.Direction="West","×",IF(Calc.Direction="East","Ø",IF(Calc.Direction="North","Ù","Ú")))</f>
        <v>Ø</v>
      </c>
      <c r="E2" s="26"/>
      <c r="F2" s="26"/>
      <c r="G2" s="26"/>
      <c r="H2" s="46">
        <f>Calc.Left+1-2*($C$2="West")</f>
        <v>25</v>
      </c>
      <c r="I2" s="46">
        <f>H2+1-2*($C$2="West")</f>
        <v>26</v>
      </c>
      <c r="J2" s="46">
        <f t="shared" ref="J2:P2" si="0">I2+1-2*($C$2="West")</f>
        <v>27</v>
      </c>
      <c r="K2" s="46">
        <f t="shared" si="0"/>
        <v>28</v>
      </c>
      <c r="L2" s="46">
        <f t="shared" si="0"/>
        <v>29</v>
      </c>
      <c r="M2" s="46">
        <f t="shared" si="0"/>
        <v>30</v>
      </c>
      <c r="N2" s="46">
        <f t="shared" si="0"/>
        <v>31</v>
      </c>
      <c r="O2" s="46">
        <f t="shared" si="0"/>
        <v>32</v>
      </c>
      <c r="P2" s="46">
        <f t="shared" si="0"/>
        <v>33</v>
      </c>
      <c r="S2" t="s">
        <v>8</v>
      </c>
      <c r="T2">
        <v>10</v>
      </c>
    </row>
    <row r="3" spans="2:42" x14ac:dyDescent="0.25">
      <c r="B3" t="s">
        <v>5</v>
      </c>
      <c r="C3">
        <v>24</v>
      </c>
      <c r="H3" s="2">
        <v>1</v>
      </c>
      <c r="I3" s="2">
        <v>1</v>
      </c>
      <c r="J3" s="2">
        <v>1</v>
      </c>
      <c r="K3" s="2">
        <v>2</v>
      </c>
      <c r="L3" s="2">
        <v>2</v>
      </c>
      <c r="M3" s="2">
        <v>2</v>
      </c>
      <c r="N3" s="2">
        <v>3</v>
      </c>
      <c r="O3" s="2">
        <v>3</v>
      </c>
      <c r="P3" s="2">
        <v>3</v>
      </c>
      <c r="S3" t="s">
        <v>3</v>
      </c>
      <c r="T3" s="2">
        <v>0.5</v>
      </c>
    </row>
    <row r="4" spans="2:42" x14ac:dyDescent="0.25">
      <c r="B4" t="s">
        <v>6</v>
      </c>
      <c r="C4" s="25">
        <v>23</v>
      </c>
      <c r="D4" s="25"/>
      <c r="E4" s="25"/>
      <c r="F4" s="25"/>
      <c r="G4" s="25"/>
      <c r="H4" s="71">
        <v>1</v>
      </c>
      <c r="I4" s="72"/>
      <c r="J4" s="73"/>
      <c r="K4" s="71">
        <v>2</v>
      </c>
      <c r="L4" s="72"/>
      <c r="M4" s="73"/>
      <c r="N4" s="71">
        <v>3</v>
      </c>
      <c r="O4" s="72"/>
      <c r="P4" s="73"/>
      <c r="T4" s="27" t="s">
        <v>7</v>
      </c>
      <c r="U4" s="77" t="s">
        <v>1</v>
      </c>
      <c r="V4" s="78"/>
      <c r="W4" s="78"/>
      <c r="X4" s="78"/>
      <c r="Y4" s="78"/>
      <c r="Z4" s="78"/>
      <c r="AA4" s="78"/>
      <c r="AB4" s="78"/>
      <c r="AC4" s="79"/>
      <c r="AD4" s="42"/>
      <c r="AE4" s="42"/>
      <c r="AF4" s="80" t="s">
        <v>2</v>
      </c>
      <c r="AG4" s="81"/>
      <c r="AH4" s="81"/>
      <c r="AI4" s="81"/>
      <c r="AJ4" s="81"/>
      <c r="AK4" s="81"/>
      <c r="AL4" s="81"/>
      <c r="AM4" s="81"/>
      <c r="AN4" s="81"/>
      <c r="AO4" s="81"/>
      <c r="AP4" s="25"/>
    </row>
    <row r="5" spans="2:42" x14ac:dyDescent="0.25">
      <c r="C5" s="25"/>
      <c r="D5" s="25" t="s">
        <v>23</v>
      </c>
      <c r="E5" s="25"/>
      <c r="F5" s="25"/>
      <c r="G5" s="25"/>
      <c r="H5" s="10">
        <v>1</v>
      </c>
      <c r="I5" s="11">
        <v>2</v>
      </c>
      <c r="J5" s="12">
        <v>3</v>
      </c>
      <c r="K5" s="10">
        <v>1</v>
      </c>
      <c r="L5" s="11">
        <v>2</v>
      </c>
      <c r="M5" s="12">
        <v>3</v>
      </c>
      <c r="N5" s="10">
        <v>1</v>
      </c>
      <c r="O5" s="11">
        <v>2</v>
      </c>
      <c r="P5" s="12">
        <v>3</v>
      </c>
      <c r="U5" s="43">
        <v>1</v>
      </c>
      <c r="V5" s="44">
        <v>2</v>
      </c>
      <c r="W5" s="44">
        <v>3</v>
      </c>
      <c r="X5" s="44">
        <v>4</v>
      </c>
      <c r="Y5" s="44">
        <v>5</v>
      </c>
      <c r="Z5" s="44">
        <v>6</v>
      </c>
      <c r="AA5" s="44">
        <v>7</v>
      </c>
      <c r="AB5" s="44">
        <v>8</v>
      </c>
      <c r="AC5" s="44">
        <v>9</v>
      </c>
      <c r="AD5" s="44">
        <v>10</v>
      </c>
      <c r="AE5" s="44"/>
      <c r="AF5" s="35">
        <v>10</v>
      </c>
      <c r="AG5" s="36">
        <v>9</v>
      </c>
      <c r="AH5" s="36">
        <v>8</v>
      </c>
      <c r="AI5" s="37">
        <v>7</v>
      </c>
      <c r="AJ5" s="37">
        <v>6</v>
      </c>
      <c r="AK5" s="37">
        <v>5</v>
      </c>
      <c r="AL5" s="37">
        <v>4</v>
      </c>
      <c r="AM5" s="37">
        <v>3</v>
      </c>
      <c r="AN5" s="37">
        <v>2</v>
      </c>
      <c r="AO5" s="37">
        <v>1</v>
      </c>
      <c r="AP5" s="25"/>
    </row>
    <row r="6" spans="2:42" x14ac:dyDescent="0.25">
      <c r="C6" s="25"/>
      <c r="D6" s="25">
        <f>Calc.Top-1+2*($C$2="West")</f>
        <v>22</v>
      </c>
      <c r="E6" s="2">
        <v>1</v>
      </c>
      <c r="F6" s="74">
        <v>1</v>
      </c>
      <c r="G6" s="7">
        <v>1</v>
      </c>
      <c r="H6" s="49">
        <f t="shared" ref="H6:P8" si="1">INDEX(MazeMatrix,$D6,H$2)</f>
        <v>1</v>
      </c>
      <c r="I6" s="49">
        <f t="shared" si="1"/>
        <v>0</v>
      </c>
      <c r="J6" s="49">
        <f t="shared" si="1"/>
        <v>1</v>
      </c>
      <c r="K6" s="49">
        <f t="shared" si="1"/>
        <v>1</v>
      </c>
      <c r="L6" s="49">
        <f t="shared" si="1"/>
        <v>0</v>
      </c>
      <c r="M6" s="49">
        <f t="shared" si="1"/>
        <v>1</v>
      </c>
      <c r="N6" s="49" t="e">
        <f t="shared" si="1"/>
        <v>#REF!</v>
      </c>
      <c r="O6" s="49" t="e">
        <f t="shared" si="1"/>
        <v>#REF!</v>
      </c>
      <c r="P6" s="49" t="e">
        <f t="shared" si="1"/>
        <v>#REF!</v>
      </c>
      <c r="S6">
        <f>factor</f>
        <v>10</v>
      </c>
      <c r="T6" s="38">
        <v>1</v>
      </c>
      <c r="U6" s="29">
        <f>INDEX(CHOOSE(OR($C$2="East",$C$2="West")+1,Hallway.NorthSouth,Hallway.EastWest),1,$T6)*$S6</f>
        <v>10</v>
      </c>
      <c r="V6" s="34">
        <f>U6-slope</f>
        <v>9.5</v>
      </c>
      <c r="W6" s="4"/>
      <c r="X6" s="4"/>
      <c r="Y6" s="4"/>
      <c r="Z6" s="4"/>
      <c r="AA6" s="4"/>
      <c r="AB6" s="4"/>
      <c r="AC6" s="4"/>
      <c r="AD6" s="4"/>
      <c r="AE6" s="4"/>
      <c r="AF6" s="29"/>
      <c r="AG6" s="4"/>
      <c r="AH6" s="4"/>
      <c r="AI6" s="4"/>
      <c r="AJ6" s="4"/>
      <c r="AK6" s="4"/>
      <c r="AL6" s="4"/>
      <c r="AM6" s="4"/>
      <c r="AN6" s="31">
        <f>AO6-slope</f>
        <v>9.5</v>
      </c>
      <c r="AO6" s="29">
        <f>INDEX(CHOOSE(OR($C$2="East",$C$2="West")+1,Hallway.NorthSouth,Hallway.EastWest),3,$T6)*$S6</f>
        <v>10</v>
      </c>
      <c r="AP6" s="25"/>
    </row>
    <row r="7" spans="2:42" x14ac:dyDescent="0.25">
      <c r="C7" s="25"/>
      <c r="D7" s="25">
        <f>D6+1-2*($C$2="West")</f>
        <v>23</v>
      </c>
      <c r="E7" s="2">
        <v>1</v>
      </c>
      <c r="F7" s="75"/>
      <c r="G7" s="8">
        <v>2</v>
      </c>
      <c r="H7" s="49">
        <f t="shared" si="1"/>
        <v>0</v>
      </c>
      <c r="I7" s="49">
        <f t="shared" si="1"/>
        <v>0</v>
      </c>
      <c r="J7" s="49">
        <f t="shared" si="1"/>
        <v>1</v>
      </c>
      <c r="K7" s="49">
        <f t="shared" si="1"/>
        <v>1</v>
      </c>
      <c r="L7" s="49">
        <f t="shared" si="1"/>
        <v>0</v>
      </c>
      <c r="M7" s="49">
        <f t="shared" si="1"/>
        <v>1</v>
      </c>
      <c r="N7" s="49" t="e">
        <f t="shared" si="1"/>
        <v>#REF!</v>
      </c>
      <c r="O7" s="49" t="e">
        <f t="shared" si="1"/>
        <v>#REF!</v>
      </c>
      <c r="P7" s="49" t="e">
        <f t="shared" si="1"/>
        <v>#REF!</v>
      </c>
      <c r="S7">
        <f t="shared" ref="S7:S14" si="2">S6-slope</f>
        <v>9.5</v>
      </c>
      <c r="T7" s="39">
        <v>2</v>
      </c>
      <c r="U7" s="29"/>
      <c r="V7" s="29">
        <f>INDEX(CHOOSE(OR($C$2="East",$C$2="West")+1,Hallway.NorthSouth,Hallway.EastWest),1,$T7)*$S7</f>
        <v>0</v>
      </c>
      <c r="W7" s="34">
        <f>V7-slope</f>
        <v>-0.5</v>
      </c>
      <c r="X7" s="4"/>
      <c r="Y7" s="4"/>
      <c r="Z7" s="4"/>
      <c r="AA7" s="4"/>
      <c r="AB7" s="4"/>
      <c r="AC7" s="4"/>
      <c r="AD7" s="4"/>
      <c r="AE7" s="4"/>
      <c r="AF7" s="29"/>
      <c r="AG7" s="4"/>
      <c r="AH7" s="4"/>
      <c r="AI7" s="4"/>
      <c r="AJ7" s="4"/>
      <c r="AK7" s="4"/>
      <c r="AL7" s="4"/>
      <c r="AM7" s="31">
        <f>AN7-slope</f>
        <v>-0.5</v>
      </c>
      <c r="AN7" s="29">
        <f>INDEX(CHOOSE(OR($C$2="East",$C$2="West")+1,Hallway.NorthSouth,Hallway.EastWest),3,$T7)*$S7</f>
        <v>0</v>
      </c>
      <c r="AO7" s="4"/>
      <c r="AP7" s="25"/>
    </row>
    <row r="8" spans="2:42" x14ac:dyDescent="0.25">
      <c r="D8">
        <f>D7+1-2*($C$2="West")</f>
        <v>24</v>
      </c>
      <c r="E8" s="2">
        <v>1</v>
      </c>
      <c r="F8" s="76"/>
      <c r="G8" s="9">
        <v>3</v>
      </c>
      <c r="H8" s="49">
        <f t="shared" si="1"/>
        <v>1</v>
      </c>
      <c r="I8" s="49">
        <f t="shared" si="1"/>
        <v>0</v>
      </c>
      <c r="J8" s="49">
        <f t="shared" si="1"/>
        <v>1</v>
      </c>
      <c r="K8" s="49">
        <f t="shared" si="1"/>
        <v>1</v>
      </c>
      <c r="L8" s="49">
        <f t="shared" si="1"/>
        <v>0</v>
      </c>
      <c r="M8" s="49">
        <f t="shared" si="1"/>
        <v>1</v>
      </c>
      <c r="N8" s="49" t="e">
        <f t="shared" si="1"/>
        <v>#REF!</v>
      </c>
      <c r="O8" s="49" t="e">
        <f t="shared" si="1"/>
        <v>#REF!</v>
      </c>
      <c r="P8" s="49" t="e">
        <f t="shared" si="1"/>
        <v>#REF!</v>
      </c>
      <c r="S8">
        <f t="shared" si="2"/>
        <v>9</v>
      </c>
      <c r="T8" s="39">
        <v>3</v>
      </c>
      <c r="U8" s="29"/>
      <c r="V8" s="4"/>
      <c r="W8" s="29">
        <f>INDEX(CHOOSE(OR($C$2="East",$C$2="West")+1,Hallway.NorthSouth,Hallway.EastWest),1,$T8)*$S8</f>
        <v>9</v>
      </c>
      <c r="X8" s="34">
        <f>W8-slope</f>
        <v>8.5</v>
      </c>
      <c r="Y8" s="4"/>
      <c r="Z8" s="4"/>
      <c r="AA8" s="4"/>
      <c r="AB8" s="4"/>
      <c r="AC8" s="4"/>
      <c r="AD8" s="4"/>
      <c r="AE8" s="4"/>
      <c r="AF8" s="29"/>
      <c r="AG8" s="4"/>
      <c r="AH8" s="4"/>
      <c r="AI8" s="4"/>
      <c r="AJ8" s="4"/>
      <c r="AK8" s="4"/>
      <c r="AL8" s="31">
        <f>AM8-slope</f>
        <v>8.5</v>
      </c>
      <c r="AM8" s="29">
        <f>INDEX(CHOOSE(OR($C$2="East",$C$2="West")+1,Hallway.NorthSouth,Hallway.EastWest),3,$T8)*$S8</f>
        <v>9</v>
      </c>
      <c r="AN8" s="4"/>
      <c r="AO8" s="4"/>
      <c r="AP8" s="25"/>
    </row>
    <row r="9" spans="2:42" x14ac:dyDescent="0.25">
      <c r="S9">
        <f t="shared" si="2"/>
        <v>8.5</v>
      </c>
      <c r="T9" s="40">
        <v>4</v>
      </c>
      <c r="U9" s="29"/>
      <c r="V9" s="4"/>
      <c r="W9" s="4"/>
      <c r="X9" s="29">
        <f>INDEX(CHOOSE(OR($C$2="East",$C$2="West")+1,Hallway.NorthSouth,Hallway.EastWest),1,$T9)*$S9</f>
        <v>8.5</v>
      </c>
      <c r="Y9" s="34">
        <f>X9-slope</f>
        <v>8</v>
      </c>
      <c r="Z9" s="4"/>
      <c r="AA9" s="4"/>
      <c r="AB9" s="4"/>
      <c r="AC9" s="4"/>
      <c r="AD9" s="4"/>
      <c r="AE9" s="4"/>
      <c r="AF9" s="29"/>
      <c r="AG9" s="4"/>
      <c r="AH9" s="4"/>
      <c r="AI9" s="4"/>
      <c r="AJ9" s="4"/>
      <c r="AK9" s="31">
        <f>AL9-slope</f>
        <v>8</v>
      </c>
      <c r="AL9" s="29">
        <f>INDEX(CHOOSE(OR($C$2="East",$C$2="West")+1,Hallway.NorthSouth,Hallway.EastWest),3,$T9)*$S9</f>
        <v>8.5</v>
      </c>
      <c r="AM9" s="4"/>
      <c r="AN9" s="4"/>
      <c r="AO9" s="4"/>
      <c r="AP9" s="25"/>
    </row>
    <row r="10" spans="2:42" ht="15.75" x14ac:dyDescent="0.3">
      <c r="B10" s="58">
        <v>3456</v>
      </c>
      <c r="D10" s="26"/>
      <c r="E10" s="26"/>
      <c r="F10" s="26"/>
      <c r="G10" s="26"/>
      <c r="H10" s="46">
        <f>Calc.Top+1-2*($C$2="North")</f>
        <v>24</v>
      </c>
      <c r="I10" s="46">
        <f>H10+1-2*($C$2="North")</f>
        <v>25</v>
      </c>
      <c r="J10" s="46">
        <f t="shared" ref="J10:P10" si="3">I10+1-2*($C$2="North")</f>
        <v>26</v>
      </c>
      <c r="K10" s="46">
        <f>J10+1-2*($C$2="North")</f>
        <v>27</v>
      </c>
      <c r="L10" s="46">
        <f t="shared" si="3"/>
        <v>28</v>
      </c>
      <c r="M10" s="46">
        <f t="shared" si="3"/>
        <v>29</v>
      </c>
      <c r="N10" s="46">
        <f t="shared" si="3"/>
        <v>30</v>
      </c>
      <c r="O10" s="46">
        <f t="shared" si="3"/>
        <v>31</v>
      </c>
      <c r="P10" s="46">
        <f t="shared" si="3"/>
        <v>32</v>
      </c>
      <c r="S10">
        <f t="shared" si="2"/>
        <v>8</v>
      </c>
      <c r="T10" s="40">
        <v>5</v>
      </c>
      <c r="U10" s="29"/>
      <c r="V10" s="4"/>
      <c r="W10" s="4"/>
      <c r="X10" s="4"/>
      <c r="Y10" s="29">
        <f>INDEX(CHOOSE(OR($C$2="East",$C$2="West")+1,Hallway.NorthSouth,Hallway.EastWest),1,$T10)*$S10</f>
        <v>0</v>
      </c>
      <c r="Z10" s="34">
        <f>Y10-slope</f>
        <v>-0.5</v>
      </c>
      <c r="AA10" s="4"/>
      <c r="AB10" s="4"/>
      <c r="AC10" s="4"/>
      <c r="AD10" s="4"/>
      <c r="AE10" s="4"/>
      <c r="AF10" s="29"/>
      <c r="AG10" s="4"/>
      <c r="AH10" s="4"/>
      <c r="AI10" s="4"/>
      <c r="AJ10" s="31">
        <f>AK10-slope</f>
        <v>-0.5</v>
      </c>
      <c r="AK10" s="29">
        <f>INDEX(CHOOSE(OR($C$2="East",$C$2="West")+1,Hallway.NorthSouth,Hallway.EastWest),3,$T10)*$S10</f>
        <v>0</v>
      </c>
      <c r="AL10" s="4"/>
      <c r="AM10" s="4"/>
      <c r="AN10" s="4"/>
      <c r="AO10" s="4"/>
      <c r="AP10" s="25"/>
    </row>
    <row r="11" spans="2:42" x14ac:dyDescent="0.25">
      <c r="H11" s="2">
        <v>1</v>
      </c>
      <c r="I11" s="2">
        <v>1</v>
      </c>
      <c r="J11" s="2">
        <v>1</v>
      </c>
      <c r="K11" s="2">
        <v>2</v>
      </c>
      <c r="L11" s="2">
        <v>2</v>
      </c>
      <c r="M11" s="2">
        <v>2</v>
      </c>
      <c r="N11" s="2">
        <v>3</v>
      </c>
      <c r="O11" s="2">
        <v>3</v>
      </c>
      <c r="P11" s="2">
        <v>3</v>
      </c>
      <c r="S11">
        <f t="shared" si="2"/>
        <v>7.5</v>
      </c>
      <c r="T11" s="40">
        <v>6</v>
      </c>
      <c r="U11" s="29"/>
      <c r="V11" s="4"/>
      <c r="W11" s="4"/>
      <c r="X11" s="4"/>
      <c r="Y11" s="4"/>
      <c r="Z11" s="29">
        <f>INDEX(CHOOSE(OR($C$2="East",$C$2="West")+1,Hallway.NorthSouth,Hallway.EastWest),1,$T11)*$S11</f>
        <v>7.5</v>
      </c>
      <c r="AA11" s="34">
        <f>Z11-slope</f>
        <v>7</v>
      </c>
      <c r="AB11" s="4"/>
      <c r="AC11" s="4"/>
      <c r="AD11" s="4"/>
      <c r="AE11" s="4"/>
      <c r="AF11" s="29"/>
      <c r="AG11" s="4"/>
      <c r="AH11" s="4"/>
      <c r="AI11" s="31">
        <f>AJ11-slope</f>
        <v>7</v>
      </c>
      <c r="AJ11" s="29">
        <f>INDEX(CHOOSE(OR($C$2="East",$C$2="West")+1,Hallway.NorthSouth,Hallway.EastWest),3,$T11)*$S11</f>
        <v>7.5</v>
      </c>
      <c r="AK11" s="4"/>
      <c r="AL11" s="4"/>
      <c r="AM11" s="4"/>
      <c r="AN11" s="4"/>
      <c r="AO11" s="4"/>
      <c r="AP11" s="25"/>
    </row>
    <row r="12" spans="2:42" x14ac:dyDescent="0.25">
      <c r="D12" s="25" t="s">
        <v>22</v>
      </c>
      <c r="E12" s="25"/>
      <c r="F12" s="25"/>
      <c r="G12" s="25"/>
      <c r="H12" s="71">
        <v>1</v>
      </c>
      <c r="I12" s="72"/>
      <c r="J12" s="73"/>
      <c r="K12" s="71">
        <v>2</v>
      </c>
      <c r="L12" s="72"/>
      <c r="M12" s="73"/>
      <c r="N12" s="71">
        <v>3</v>
      </c>
      <c r="O12" s="72"/>
      <c r="P12" s="73"/>
      <c r="S12">
        <f t="shared" si="2"/>
        <v>7</v>
      </c>
      <c r="T12" s="45">
        <v>7</v>
      </c>
      <c r="U12" s="4"/>
      <c r="V12" s="4"/>
      <c r="W12" s="4"/>
      <c r="X12" s="4"/>
      <c r="Y12" s="4"/>
      <c r="Z12" s="4"/>
      <c r="AA12" s="29" t="e">
        <f>INDEX(CHOOSE(OR($C$2="East",$C$2="West")+1,Hallway.NorthSouth,Hallway.EastWest),1,$T12)*$S12</f>
        <v>#REF!</v>
      </c>
      <c r="AB12" s="34" t="e">
        <f>AA12-slope</f>
        <v>#REF!</v>
      </c>
      <c r="AC12" s="4"/>
      <c r="AD12" s="4"/>
      <c r="AE12" s="4"/>
      <c r="AF12" s="4"/>
      <c r="AG12" s="4"/>
      <c r="AH12" s="31" t="e">
        <f>AI12-slope</f>
        <v>#REF!</v>
      </c>
      <c r="AI12" s="29" t="e">
        <f>INDEX(CHOOSE(OR($C$2="East",$C$2="West")+1,Hallway.NorthSouth,Hallway.EastWest),3,$T12)*$S12</f>
        <v>#REF!</v>
      </c>
      <c r="AJ12" s="4"/>
      <c r="AK12" s="4"/>
      <c r="AL12" s="4"/>
      <c r="AM12" s="4"/>
      <c r="AN12" s="4"/>
      <c r="AO12" s="4"/>
      <c r="AP12" s="25"/>
    </row>
    <row r="13" spans="2:42" x14ac:dyDescent="0.25">
      <c r="D13" s="25"/>
      <c r="E13" s="25"/>
      <c r="F13" s="25"/>
      <c r="G13" s="25"/>
      <c r="H13" s="10">
        <v>1</v>
      </c>
      <c r="I13" s="11">
        <v>2</v>
      </c>
      <c r="J13" s="12">
        <v>3</v>
      </c>
      <c r="K13" s="10">
        <v>1</v>
      </c>
      <c r="L13" s="11">
        <v>2</v>
      </c>
      <c r="M13" s="12">
        <v>3</v>
      </c>
      <c r="N13" s="10">
        <v>1</v>
      </c>
      <c r="O13" s="11">
        <v>2</v>
      </c>
      <c r="P13" s="12">
        <v>3</v>
      </c>
      <c r="S13">
        <f t="shared" si="2"/>
        <v>6.5</v>
      </c>
      <c r="T13" s="40">
        <v>8</v>
      </c>
      <c r="U13" s="29"/>
      <c r="V13" s="4"/>
      <c r="W13" s="4"/>
      <c r="X13" s="4"/>
      <c r="Y13" s="4"/>
      <c r="Z13" s="4"/>
      <c r="AA13" s="4"/>
      <c r="AB13" s="29" t="e">
        <f>INDEX(CHOOSE(OR($C$2="East",$C$2="West")+1,Hallway.NorthSouth,Hallway.EastWest),1,$T13)*$S13</f>
        <v>#REF!</v>
      </c>
      <c r="AC13" s="34" t="e">
        <f>AB13-slope</f>
        <v>#REF!</v>
      </c>
      <c r="AD13" s="4"/>
      <c r="AE13" s="4"/>
      <c r="AF13" s="29"/>
      <c r="AG13" s="31" t="e">
        <f>AH13-slope</f>
        <v>#REF!</v>
      </c>
      <c r="AH13" s="29" t="e">
        <f>INDEX(CHOOSE(OR($C$2="East",$C$2="West")+1,Hallway.NorthSouth,Hallway.EastWest),3,$T13)*$S13</f>
        <v>#REF!</v>
      </c>
      <c r="AI13" s="4"/>
      <c r="AJ13" s="4"/>
      <c r="AK13" s="4"/>
      <c r="AL13" s="4"/>
      <c r="AM13" s="4"/>
      <c r="AN13" s="4"/>
      <c r="AO13" s="4"/>
      <c r="AP13" s="25"/>
    </row>
    <row r="14" spans="2:42" x14ac:dyDescent="0.25">
      <c r="D14" s="25">
        <f>D15+1-2*($C$2="North")</f>
        <v>25</v>
      </c>
      <c r="E14" s="2">
        <v>1</v>
      </c>
      <c r="F14" s="74">
        <v>1</v>
      </c>
      <c r="G14" s="7">
        <v>1</v>
      </c>
      <c r="H14" s="49">
        <f t="shared" ref="H14:P16" si="4">IFERROR(INDEX(MazeMatrix,H$10,$D14),1)</f>
        <v>1</v>
      </c>
      <c r="I14" s="49">
        <f t="shared" si="4"/>
        <v>1</v>
      </c>
      <c r="J14" s="49">
        <f t="shared" si="4"/>
        <v>0</v>
      </c>
      <c r="K14" s="49">
        <f t="shared" si="4"/>
        <v>1</v>
      </c>
      <c r="L14" s="49">
        <f t="shared" si="4"/>
        <v>1</v>
      </c>
      <c r="M14" s="49">
        <f t="shared" si="4"/>
        <v>0</v>
      </c>
      <c r="N14" s="49">
        <f t="shared" si="4"/>
        <v>1</v>
      </c>
      <c r="O14" s="49">
        <f t="shared" si="4"/>
        <v>1</v>
      </c>
      <c r="P14" s="49">
        <f t="shared" si="4"/>
        <v>1</v>
      </c>
      <c r="S14">
        <f t="shared" si="2"/>
        <v>6</v>
      </c>
      <c r="T14" s="41">
        <v>9</v>
      </c>
      <c r="U14" s="31"/>
      <c r="V14" s="32"/>
      <c r="W14" s="32"/>
      <c r="X14" s="32"/>
      <c r="Y14" s="32"/>
      <c r="Z14" s="32"/>
      <c r="AA14" s="32"/>
      <c r="AB14" s="32"/>
      <c r="AC14" s="29" t="e">
        <f>INDEX(CHOOSE(OR($C$2="East",$C$2="West")+1,Hallway.NorthSouth,Hallway.EastWest),1,$T14)*$S14</f>
        <v>#REF!</v>
      </c>
      <c r="AD14" s="34" t="e">
        <f>AC14-slope</f>
        <v>#REF!</v>
      </c>
      <c r="AE14" s="34"/>
      <c r="AF14" s="31" t="e">
        <f>AG14-slope</f>
        <v>#REF!</v>
      </c>
      <c r="AG14" s="29" t="e">
        <f>INDEX(CHOOSE(OR($C$2="East",$C$2="West")+1,Hallway.NorthSouth,Hallway.EastWest),3,$T14)*$S14</f>
        <v>#REF!</v>
      </c>
      <c r="AH14" s="32"/>
      <c r="AI14" s="32"/>
      <c r="AJ14" s="32"/>
      <c r="AK14" s="32"/>
      <c r="AL14" s="32"/>
      <c r="AM14" s="32"/>
      <c r="AN14" s="32"/>
      <c r="AO14" s="32"/>
      <c r="AP14" s="25"/>
    </row>
    <row r="15" spans="2:42" x14ac:dyDescent="0.25">
      <c r="D15" s="25">
        <f>D16+1-2*($C$2="North")</f>
        <v>24</v>
      </c>
      <c r="E15" s="2">
        <v>1</v>
      </c>
      <c r="F15" s="75"/>
      <c r="G15" s="8">
        <v>2</v>
      </c>
      <c r="H15" s="49">
        <f t="shared" si="4"/>
        <v>1</v>
      </c>
      <c r="I15" s="49">
        <f t="shared" si="4"/>
        <v>1</v>
      </c>
      <c r="J15" s="49">
        <f t="shared" si="4"/>
        <v>0</v>
      </c>
      <c r="K15" s="49">
        <f t="shared" si="4"/>
        <v>1</v>
      </c>
      <c r="L15" s="49">
        <f t="shared" si="4"/>
        <v>1</v>
      </c>
      <c r="M15" s="49">
        <f t="shared" si="4"/>
        <v>0</v>
      </c>
      <c r="N15" s="49">
        <f t="shared" si="4"/>
        <v>1</v>
      </c>
      <c r="O15" s="49">
        <f t="shared" si="4"/>
        <v>1</v>
      </c>
      <c r="P15" s="49">
        <f t="shared" si="4"/>
        <v>1</v>
      </c>
      <c r="R15" t="s">
        <v>19</v>
      </c>
      <c r="S15">
        <v>9.5</v>
      </c>
      <c r="T15" s="38">
        <v>1</v>
      </c>
      <c r="U15" s="29">
        <f>$S15</f>
        <v>9.5</v>
      </c>
      <c r="V15" s="34">
        <f>U15</f>
        <v>9.5</v>
      </c>
      <c r="W15" s="4"/>
      <c r="X15" s="4"/>
      <c r="Y15" s="4"/>
      <c r="Z15" s="4"/>
      <c r="AA15" s="4"/>
      <c r="AB15" s="4"/>
      <c r="AC15" s="4"/>
      <c r="AD15" s="4"/>
      <c r="AE15" s="4"/>
      <c r="AN15">
        <f>AO15</f>
        <v>9.5</v>
      </c>
      <c r="AO15" s="29">
        <f>$S15</f>
        <v>9.5</v>
      </c>
    </row>
    <row r="16" spans="2:42" x14ac:dyDescent="0.25">
      <c r="D16" s="25">
        <f>Calc.Left-1+2*($C$2="North")</f>
        <v>23</v>
      </c>
      <c r="E16" s="2">
        <v>1</v>
      </c>
      <c r="F16" s="76"/>
      <c r="G16" s="9">
        <v>3</v>
      </c>
      <c r="H16" s="49">
        <f t="shared" si="4"/>
        <v>0</v>
      </c>
      <c r="I16" s="49">
        <f t="shared" si="4"/>
        <v>0</v>
      </c>
      <c r="J16" s="49">
        <f t="shared" si="4"/>
        <v>0</v>
      </c>
      <c r="K16" s="49">
        <f t="shared" si="4"/>
        <v>0</v>
      </c>
      <c r="L16" s="49">
        <f t="shared" si="4"/>
        <v>0</v>
      </c>
      <c r="M16" s="49">
        <f t="shared" si="4"/>
        <v>0</v>
      </c>
      <c r="N16" s="49">
        <f t="shared" si="4"/>
        <v>1</v>
      </c>
      <c r="O16" s="49">
        <f t="shared" si="4"/>
        <v>1</v>
      </c>
      <c r="P16" s="49">
        <f t="shared" si="4"/>
        <v>1</v>
      </c>
      <c r="R16" t="s">
        <v>20</v>
      </c>
      <c r="S16">
        <v>9</v>
      </c>
      <c r="T16" s="39">
        <v>2</v>
      </c>
      <c r="U16" s="29"/>
      <c r="V16" s="29">
        <f>$S16</f>
        <v>9</v>
      </c>
      <c r="W16" s="34">
        <f>V16</f>
        <v>9</v>
      </c>
      <c r="X16" s="4"/>
      <c r="Y16" s="4"/>
      <c r="Z16" s="4"/>
      <c r="AA16" s="4"/>
      <c r="AB16" s="4"/>
      <c r="AC16" s="4"/>
      <c r="AD16" s="4"/>
      <c r="AE16" s="4"/>
      <c r="AM16">
        <f>AN16</f>
        <v>9</v>
      </c>
      <c r="AN16" s="29">
        <f>$S16</f>
        <v>9</v>
      </c>
    </row>
    <row r="17" spans="13:44" x14ac:dyDescent="0.25">
      <c r="M17" s="23"/>
      <c r="R17" t="s">
        <v>12</v>
      </c>
      <c r="S17">
        <v>8.5</v>
      </c>
      <c r="T17" s="39">
        <v>3</v>
      </c>
      <c r="U17" s="29"/>
      <c r="V17" s="4"/>
      <c r="W17" s="29">
        <f>$S17</f>
        <v>8.5</v>
      </c>
      <c r="X17" s="34">
        <f>W17</f>
        <v>8.5</v>
      </c>
      <c r="Y17" s="4"/>
      <c r="Z17" s="4"/>
      <c r="AA17" s="4"/>
      <c r="AB17" s="4"/>
      <c r="AC17" s="4"/>
      <c r="AD17" s="4"/>
      <c r="AE17" s="4"/>
      <c r="AL17">
        <f>AM17</f>
        <v>8.5</v>
      </c>
      <c r="AM17" s="29">
        <f>$S17</f>
        <v>8.5</v>
      </c>
    </row>
    <row r="18" spans="13:44" x14ac:dyDescent="0.25">
      <c r="M18" s="23"/>
      <c r="R18" t="s">
        <v>13</v>
      </c>
      <c r="S18">
        <v>8</v>
      </c>
      <c r="T18" s="40">
        <v>4</v>
      </c>
      <c r="U18" s="29"/>
      <c r="V18" s="4"/>
      <c r="W18" s="4"/>
      <c r="X18" s="29">
        <f>$S18</f>
        <v>8</v>
      </c>
      <c r="Y18" s="34">
        <f>X18</f>
        <v>8</v>
      </c>
      <c r="Z18" s="4"/>
      <c r="AA18" s="4"/>
      <c r="AB18" s="4"/>
      <c r="AC18" s="4"/>
      <c r="AD18" s="4"/>
      <c r="AE18" s="4"/>
      <c r="AK18">
        <f>AL18</f>
        <v>8</v>
      </c>
      <c r="AL18" s="29">
        <f>$S18</f>
        <v>8</v>
      </c>
    </row>
    <row r="19" spans="13:44" x14ac:dyDescent="0.25">
      <c r="M19" s="23"/>
      <c r="R19" t="s">
        <v>14</v>
      </c>
      <c r="S19">
        <v>7.5</v>
      </c>
      <c r="T19" s="40">
        <v>5</v>
      </c>
      <c r="U19" s="29"/>
      <c r="V19" s="4"/>
      <c r="W19" s="4"/>
      <c r="X19" s="4"/>
      <c r="Y19" s="29">
        <f>$S19</f>
        <v>7.5</v>
      </c>
      <c r="Z19" s="34">
        <f>Y19</f>
        <v>7.5</v>
      </c>
      <c r="AA19" s="4"/>
      <c r="AB19" s="4"/>
      <c r="AC19" s="4"/>
      <c r="AD19" s="4"/>
      <c r="AE19" s="4"/>
      <c r="AJ19">
        <f>AK19</f>
        <v>7.5</v>
      </c>
      <c r="AK19" s="29">
        <f>$S19</f>
        <v>7.5</v>
      </c>
    </row>
    <row r="20" spans="13:44" x14ac:dyDescent="0.25">
      <c r="M20" s="62" t="s">
        <v>30</v>
      </c>
      <c r="R20" t="s">
        <v>15</v>
      </c>
      <c r="S20">
        <v>7</v>
      </c>
      <c r="T20" s="40">
        <v>6</v>
      </c>
      <c r="U20" s="29"/>
      <c r="V20" s="4"/>
      <c r="W20" s="4"/>
      <c r="X20" s="4"/>
      <c r="Y20" s="4"/>
      <c r="Z20" s="29">
        <f>$S20</f>
        <v>7</v>
      </c>
      <c r="AA20" s="34">
        <f>Z20</f>
        <v>7</v>
      </c>
      <c r="AB20" s="4"/>
      <c r="AC20" s="4"/>
      <c r="AD20" s="4"/>
      <c r="AE20" s="4"/>
      <c r="AI20">
        <f>AJ20</f>
        <v>7</v>
      </c>
      <c r="AJ20" s="29">
        <f>$S20</f>
        <v>7</v>
      </c>
    </row>
    <row r="21" spans="13:44" x14ac:dyDescent="0.25">
      <c r="R21" t="s">
        <v>16</v>
      </c>
      <c r="S21">
        <v>6.5</v>
      </c>
      <c r="T21" s="45">
        <v>7</v>
      </c>
      <c r="U21" s="4"/>
      <c r="V21" s="4"/>
      <c r="W21" s="4"/>
      <c r="X21" s="4"/>
      <c r="Y21" s="4"/>
      <c r="Z21" s="4"/>
      <c r="AA21" s="29">
        <f>$S21</f>
        <v>6.5</v>
      </c>
      <c r="AB21" s="34">
        <f>AA21</f>
        <v>6.5</v>
      </c>
      <c r="AC21" s="4"/>
      <c r="AD21" s="4"/>
      <c r="AE21" s="4"/>
      <c r="AH21">
        <f>AI21</f>
        <v>6.5</v>
      </c>
      <c r="AI21" s="29">
        <f>$S21</f>
        <v>6.5</v>
      </c>
    </row>
    <row r="22" spans="13:44" x14ac:dyDescent="0.25">
      <c r="R22" t="s">
        <v>17</v>
      </c>
      <c r="S22">
        <v>6</v>
      </c>
      <c r="T22" s="40">
        <v>8</v>
      </c>
      <c r="U22" s="29"/>
      <c r="V22" s="4"/>
      <c r="W22" s="4"/>
      <c r="X22" s="4"/>
      <c r="Y22" s="4"/>
      <c r="Z22" s="4"/>
      <c r="AA22" s="4"/>
      <c r="AB22" s="29">
        <f>$S22</f>
        <v>6</v>
      </c>
      <c r="AC22" s="34">
        <f>AB22</f>
        <v>6</v>
      </c>
      <c r="AD22" s="4"/>
      <c r="AE22" s="4"/>
      <c r="AG22">
        <f>AH22</f>
        <v>6</v>
      </c>
      <c r="AH22" s="29">
        <f>$S22</f>
        <v>6</v>
      </c>
    </row>
    <row r="23" spans="13:44" x14ac:dyDescent="0.25">
      <c r="R23" t="s">
        <v>18</v>
      </c>
      <c r="S23">
        <v>5.5</v>
      </c>
      <c r="T23" s="41">
        <v>9</v>
      </c>
      <c r="U23" s="31"/>
      <c r="V23" s="32"/>
      <c r="W23" s="32"/>
      <c r="X23" s="32"/>
      <c r="Y23" s="32"/>
      <c r="Z23" s="32"/>
      <c r="AA23" s="32"/>
      <c r="AB23" s="32"/>
      <c r="AC23" s="29">
        <f>$S23</f>
        <v>5.5</v>
      </c>
      <c r="AD23" s="34">
        <f>AC23</f>
        <v>5.5</v>
      </c>
      <c r="AE23" s="34">
        <f>AD23</f>
        <v>5.5</v>
      </c>
      <c r="AF23" s="29">
        <f>$S23</f>
        <v>5.5</v>
      </c>
      <c r="AG23" s="29">
        <f>$S23</f>
        <v>5.5</v>
      </c>
    </row>
    <row r="24" spans="13:44" x14ac:dyDescent="0.25">
      <c r="T24" t="s">
        <v>9</v>
      </c>
      <c r="U24">
        <v>0</v>
      </c>
      <c r="V24">
        <v>0</v>
      </c>
      <c r="W24">
        <f>0*(W26&gt;1)</f>
        <v>0</v>
      </c>
      <c r="X24">
        <v>0</v>
      </c>
      <c r="Y24">
        <v>0</v>
      </c>
      <c r="Z24">
        <v>0</v>
      </c>
      <c r="AA24">
        <f>($AR$25=0)*1+($AR$25&lt;&gt;0)*(1-$AR$25)</f>
        <v>-6</v>
      </c>
      <c r="AB24">
        <f>($AR$25=0)*2+($AR$25&lt;&gt;0)*(2-$AR$25)-($AR$25=2)</f>
        <v>-5</v>
      </c>
      <c r="AC24">
        <f>($AR$25=0)*3+($AR$25&lt;&gt;0)*(3-$AR$25)-($AR$25=2)</f>
        <v>-4</v>
      </c>
      <c r="AD24">
        <f>($AR$25=0)*4+($AR$25&lt;&gt;0)*(3-$AR$25)-($AR$25=2)</f>
        <v>-4</v>
      </c>
      <c r="AE24">
        <f>($AR$25=0)*4+($AR$25&lt;&gt;0)*(3-$AR$25)-($AR$25=2)</f>
        <v>-4</v>
      </c>
      <c r="AF24">
        <f>($AR$25=0)*4+($AR$25&lt;&gt;0)*(3-$AR$25)-($AR$25=2)</f>
        <v>-4</v>
      </c>
      <c r="AG24">
        <f>($AR$25=0)*3+($AR$25&lt;&gt;0)*(3-$AR$25)-($AR$25=2)</f>
        <v>-4</v>
      </c>
      <c r="AH24">
        <f>($AR$25=0)*2+($AR$25&lt;&gt;0)*(2-$AR$25)</f>
        <v>-5</v>
      </c>
      <c r="AI24">
        <f>($AR$25=0)*1+($AR$25&lt;&gt;0)*(1-$AR$25)</f>
        <v>-6</v>
      </c>
      <c r="AJ24">
        <v>0</v>
      </c>
      <c r="AK24">
        <v>0</v>
      </c>
      <c r="AL24">
        <v>0</v>
      </c>
      <c r="AM24">
        <v>0</v>
      </c>
      <c r="AN24">
        <v>0</v>
      </c>
      <c r="AO24">
        <v>0</v>
      </c>
    </row>
    <row r="25" spans="13:44" x14ac:dyDescent="0.25">
      <c r="U25">
        <v>15</v>
      </c>
      <c r="V25">
        <v>15</v>
      </c>
      <c r="W25">
        <v>15</v>
      </c>
      <c r="X25">
        <v>15</v>
      </c>
      <c r="Y25">
        <v>15</v>
      </c>
      <c r="Z25">
        <v>15</v>
      </c>
      <c r="AA25">
        <v>15</v>
      </c>
      <c r="AB25">
        <v>15</v>
      </c>
      <c r="AC25">
        <v>15</v>
      </c>
      <c r="AD25">
        <v>15</v>
      </c>
      <c r="AE25">
        <v>15</v>
      </c>
      <c r="AF25">
        <v>15</v>
      </c>
      <c r="AG25">
        <v>15</v>
      </c>
      <c r="AH25">
        <v>15</v>
      </c>
      <c r="AI25">
        <v>15</v>
      </c>
      <c r="AJ25">
        <v>15</v>
      </c>
      <c r="AK25">
        <v>15</v>
      </c>
      <c r="AL25">
        <v>15</v>
      </c>
      <c r="AM25">
        <v>15</v>
      </c>
      <c r="AN25">
        <v>15</v>
      </c>
      <c r="AO25">
        <v>15</v>
      </c>
      <c r="AP25" t="s">
        <v>11</v>
      </c>
      <c r="AR25">
        <f>IFERROR(10-MATCH(TRUE,$AP$26:$AP$34,0),0)</f>
        <v>7</v>
      </c>
    </row>
    <row r="26" spans="13:44" x14ac:dyDescent="0.25">
      <c r="S26">
        <f>factor+slope</f>
        <v>10.5</v>
      </c>
      <c r="T26" s="47">
        <v>1</v>
      </c>
      <c r="U26" s="28">
        <f t="shared" ref="U26:AO26" si="5">IFERROR(((INDEX(CHOOSE(OR($C$2="East",$C$2="West")+1,Hallway.NorthSouth,Hallway.EastWest),2,$T26)*$S26-slope)*($AN6&gt;0)),$S26-slope)</f>
        <v>-0.5</v>
      </c>
      <c r="V26" s="28">
        <f t="shared" si="5"/>
        <v>-0.5</v>
      </c>
      <c r="W26" s="28">
        <f t="shared" si="5"/>
        <v>-0.5</v>
      </c>
      <c r="X26" s="28">
        <f t="shared" si="5"/>
        <v>-0.5</v>
      </c>
      <c r="Y26" s="28">
        <f t="shared" si="5"/>
        <v>-0.5</v>
      </c>
      <c r="Z26" s="28">
        <f t="shared" si="5"/>
        <v>-0.5</v>
      </c>
      <c r="AA26" s="28">
        <f t="shared" si="5"/>
        <v>-0.5</v>
      </c>
      <c r="AB26" s="28">
        <f t="shared" si="5"/>
        <v>-0.5</v>
      </c>
      <c r="AC26" s="28">
        <f t="shared" si="5"/>
        <v>-0.5</v>
      </c>
      <c r="AD26" s="28">
        <f t="shared" si="5"/>
        <v>-0.5</v>
      </c>
      <c r="AE26" s="28">
        <f t="shared" si="5"/>
        <v>-0.5</v>
      </c>
      <c r="AF26" s="28">
        <f t="shared" si="5"/>
        <v>-0.5</v>
      </c>
      <c r="AG26" s="28">
        <f t="shared" si="5"/>
        <v>-0.5</v>
      </c>
      <c r="AH26" s="28">
        <f t="shared" si="5"/>
        <v>-0.5</v>
      </c>
      <c r="AI26" s="28">
        <f t="shared" si="5"/>
        <v>-0.5</v>
      </c>
      <c r="AJ26" s="28">
        <f t="shared" si="5"/>
        <v>-0.5</v>
      </c>
      <c r="AK26" s="28">
        <f t="shared" si="5"/>
        <v>-0.5</v>
      </c>
      <c r="AL26" s="28">
        <f t="shared" si="5"/>
        <v>-0.5</v>
      </c>
      <c r="AM26" s="28">
        <f t="shared" si="5"/>
        <v>-0.5</v>
      </c>
      <c r="AN26" s="28">
        <f t="shared" si="5"/>
        <v>-0.5</v>
      </c>
      <c r="AO26" s="28">
        <f t="shared" si="5"/>
        <v>-0.5</v>
      </c>
      <c r="AP26" t="b">
        <f t="shared" ref="AP26:AP33" si="6">(AG26&gt;1)</f>
        <v>0</v>
      </c>
    </row>
    <row r="27" spans="13:44" x14ac:dyDescent="0.25">
      <c r="S27">
        <f t="shared" ref="S27:S34" si="7">S26-slope</f>
        <v>10</v>
      </c>
      <c r="T27" s="29">
        <v>2</v>
      </c>
      <c r="U27" s="28"/>
      <c r="V27" s="28">
        <f t="shared" ref="V27:AN27" si="8">IFERROR(((INDEX(CHOOSE(OR($C$2="East",$C$2="West")+1,Hallway.NorthSouth,Hallway.EastWest),2,$T27)*$S27-slope)*($AN7&gt;0)),$S27-slope)</f>
        <v>0</v>
      </c>
      <c r="W27" s="28">
        <f t="shared" si="8"/>
        <v>0</v>
      </c>
      <c r="X27" s="28">
        <f t="shared" si="8"/>
        <v>0</v>
      </c>
      <c r="Y27" s="28">
        <f t="shared" si="8"/>
        <v>0</v>
      </c>
      <c r="Z27" s="28">
        <f t="shared" si="8"/>
        <v>0</v>
      </c>
      <c r="AA27" s="28">
        <f t="shared" si="8"/>
        <v>0</v>
      </c>
      <c r="AB27" s="28">
        <f t="shared" si="8"/>
        <v>0</v>
      </c>
      <c r="AC27" s="28">
        <f t="shared" si="8"/>
        <v>0</v>
      </c>
      <c r="AD27" s="28">
        <f t="shared" si="8"/>
        <v>0</v>
      </c>
      <c r="AE27" s="28">
        <f t="shared" si="8"/>
        <v>0</v>
      </c>
      <c r="AF27" s="28">
        <f t="shared" si="8"/>
        <v>0</v>
      </c>
      <c r="AG27" s="28">
        <f t="shared" si="8"/>
        <v>0</v>
      </c>
      <c r="AH27" s="28">
        <f t="shared" si="8"/>
        <v>0</v>
      </c>
      <c r="AI27" s="28">
        <f t="shared" si="8"/>
        <v>0</v>
      </c>
      <c r="AJ27" s="28">
        <f t="shared" si="8"/>
        <v>0</v>
      </c>
      <c r="AK27" s="28">
        <f t="shared" si="8"/>
        <v>0</v>
      </c>
      <c r="AL27" s="28">
        <f t="shared" si="8"/>
        <v>0</v>
      </c>
      <c r="AM27" s="28">
        <f t="shared" si="8"/>
        <v>0</v>
      </c>
      <c r="AN27" s="28">
        <f t="shared" si="8"/>
        <v>0</v>
      </c>
      <c r="AO27" s="28"/>
      <c r="AP27" t="b">
        <f t="shared" si="6"/>
        <v>0</v>
      </c>
    </row>
    <row r="28" spans="13:44" x14ac:dyDescent="0.25">
      <c r="S28">
        <f t="shared" si="7"/>
        <v>9.5</v>
      </c>
      <c r="T28" s="29">
        <v>3</v>
      </c>
      <c r="U28" s="29"/>
      <c r="V28" s="28"/>
      <c r="W28" s="28">
        <f t="shared" ref="W28:AM28" si="9">IFERROR(((INDEX(CHOOSE(OR($C$2="East",$C$2="West")+1,Hallway.NorthSouth,Hallway.EastWest),2,$T28)*$S28-slope)*($AM8&gt;0)),$S28-slope)</f>
        <v>9</v>
      </c>
      <c r="X28" s="28">
        <f t="shared" si="9"/>
        <v>9</v>
      </c>
      <c r="Y28" s="28">
        <f t="shared" si="9"/>
        <v>9</v>
      </c>
      <c r="Z28" s="28">
        <f t="shared" si="9"/>
        <v>9</v>
      </c>
      <c r="AA28" s="28">
        <f t="shared" si="9"/>
        <v>9</v>
      </c>
      <c r="AB28" s="28">
        <f t="shared" si="9"/>
        <v>9</v>
      </c>
      <c r="AC28" s="28">
        <f t="shared" si="9"/>
        <v>9</v>
      </c>
      <c r="AD28" s="28">
        <f t="shared" si="9"/>
        <v>9</v>
      </c>
      <c r="AE28" s="28">
        <f t="shared" si="9"/>
        <v>9</v>
      </c>
      <c r="AF28" s="28">
        <f t="shared" si="9"/>
        <v>9</v>
      </c>
      <c r="AG28" s="28">
        <f t="shared" si="9"/>
        <v>9</v>
      </c>
      <c r="AH28" s="28">
        <f t="shared" si="9"/>
        <v>9</v>
      </c>
      <c r="AI28" s="28">
        <f t="shared" si="9"/>
        <v>9</v>
      </c>
      <c r="AJ28" s="28">
        <f t="shared" si="9"/>
        <v>9</v>
      </c>
      <c r="AK28" s="28">
        <f t="shared" si="9"/>
        <v>9</v>
      </c>
      <c r="AL28" s="28">
        <f t="shared" si="9"/>
        <v>9</v>
      </c>
      <c r="AM28" s="28">
        <f t="shared" si="9"/>
        <v>9</v>
      </c>
      <c r="AN28" s="28"/>
      <c r="AO28" s="30"/>
      <c r="AP28" t="b">
        <f t="shared" si="6"/>
        <v>1</v>
      </c>
    </row>
    <row r="29" spans="13:44" x14ac:dyDescent="0.25">
      <c r="S29">
        <f t="shared" si="7"/>
        <v>9</v>
      </c>
      <c r="T29" s="45">
        <v>4</v>
      </c>
      <c r="U29" s="29"/>
      <c r="V29" s="4"/>
      <c r="W29" s="28"/>
      <c r="X29" s="28">
        <f t="shared" ref="X29:AL29" si="10">IFERROR(((INDEX(CHOOSE(OR($C$2="East",$C$2="West")+1,Hallway.NorthSouth,Hallway.EastWest),2,$T29)*$S29-slope)*($AL9&gt;0)),$S29-slope)</f>
        <v>8.5</v>
      </c>
      <c r="Y29" s="28">
        <f t="shared" si="10"/>
        <v>8.5</v>
      </c>
      <c r="Z29" s="28">
        <f t="shared" si="10"/>
        <v>8.5</v>
      </c>
      <c r="AA29" s="28">
        <f t="shared" si="10"/>
        <v>8.5</v>
      </c>
      <c r="AB29" s="28">
        <f t="shared" si="10"/>
        <v>8.5</v>
      </c>
      <c r="AC29" s="28">
        <f t="shared" si="10"/>
        <v>8.5</v>
      </c>
      <c r="AD29" s="28">
        <f t="shared" si="10"/>
        <v>8.5</v>
      </c>
      <c r="AE29" s="28">
        <f t="shared" si="10"/>
        <v>8.5</v>
      </c>
      <c r="AF29" s="28">
        <f t="shared" si="10"/>
        <v>8.5</v>
      </c>
      <c r="AG29" s="28">
        <f t="shared" si="10"/>
        <v>8.5</v>
      </c>
      <c r="AH29" s="28">
        <f t="shared" si="10"/>
        <v>8.5</v>
      </c>
      <c r="AI29" s="28">
        <f t="shared" si="10"/>
        <v>8.5</v>
      </c>
      <c r="AJ29" s="28">
        <f t="shared" si="10"/>
        <v>8.5</v>
      </c>
      <c r="AK29" s="28">
        <f t="shared" si="10"/>
        <v>8.5</v>
      </c>
      <c r="AL29" s="28">
        <f t="shared" si="10"/>
        <v>8.5</v>
      </c>
      <c r="AM29" s="28"/>
      <c r="AN29" s="28"/>
      <c r="AO29" s="30"/>
      <c r="AP29" t="b">
        <f t="shared" si="6"/>
        <v>1</v>
      </c>
    </row>
    <row r="30" spans="13:44" x14ac:dyDescent="0.25">
      <c r="S30">
        <f t="shared" si="7"/>
        <v>8.5</v>
      </c>
      <c r="T30" s="45">
        <v>5</v>
      </c>
      <c r="U30" s="29"/>
      <c r="V30" s="4"/>
      <c r="W30" s="28"/>
      <c r="X30" s="28"/>
      <c r="Y30" s="28">
        <f t="shared" ref="Y30:AK30" si="11">IFERROR(((INDEX(CHOOSE(OR($C$2="East",$C$2="West")+1,Hallway.NorthSouth,Hallway.EastWest),2,$T30)*$S30-slope)*($AK10&gt;0)),$S30-slope)</f>
        <v>0</v>
      </c>
      <c r="Z30" s="28">
        <f t="shared" si="11"/>
        <v>0</v>
      </c>
      <c r="AA30" s="28">
        <f t="shared" si="11"/>
        <v>0</v>
      </c>
      <c r="AB30" s="28">
        <f t="shared" si="11"/>
        <v>0</v>
      </c>
      <c r="AC30" s="28">
        <f t="shared" si="11"/>
        <v>0</v>
      </c>
      <c r="AD30" s="28">
        <f t="shared" si="11"/>
        <v>0</v>
      </c>
      <c r="AE30" s="28">
        <f t="shared" si="11"/>
        <v>0</v>
      </c>
      <c r="AF30" s="28">
        <f t="shared" si="11"/>
        <v>0</v>
      </c>
      <c r="AG30" s="28">
        <f t="shared" si="11"/>
        <v>0</v>
      </c>
      <c r="AH30" s="28">
        <f t="shared" si="11"/>
        <v>0</v>
      </c>
      <c r="AI30" s="28">
        <f t="shared" si="11"/>
        <v>0</v>
      </c>
      <c r="AJ30" s="28">
        <f t="shared" si="11"/>
        <v>0</v>
      </c>
      <c r="AK30" s="28">
        <f t="shared" si="11"/>
        <v>0</v>
      </c>
      <c r="AL30" s="28"/>
      <c r="AM30" s="4"/>
      <c r="AN30" s="4"/>
      <c r="AO30" s="30"/>
      <c r="AP30" t="b">
        <f t="shared" si="6"/>
        <v>0</v>
      </c>
    </row>
    <row r="31" spans="13:44" x14ac:dyDescent="0.25">
      <c r="S31">
        <f t="shared" si="7"/>
        <v>8</v>
      </c>
      <c r="T31" s="45">
        <v>6</v>
      </c>
      <c r="U31" s="29"/>
      <c r="V31" s="4"/>
      <c r="W31" s="4"/>
      <c r="X31" s="4"/>
      <c r="Y31" s="28"/>
      <c r="Z31" s="28">
        <f t="shared" ref="Z31:AJ31" si="12">IFERROR(((INDEX(CHOOSE(OR($C$2="East",$C$2="West")+1,Hallway.NorthSouth,Hallway.EastWest),2,$T31)*$S31-slope)*($AJ11&gt;0)),$S31-slope)</f>
        <v>7.5</v>
      </c>
      <c r="AA31" s="28">
        <f t="shared" si="12"/>
        <v>7.5</v>
      </c>
      <c r="AB31" s="28">
        <f t="shared" si="12"/>
        <v>7.5</v>
      </c>
      <c r="AC31" s="28">
        <f t="shared" si="12"/>
        <v>7.5</v>
      </c>
      <c r="AD31" s="28">
        <f t="shared" si="12"/>
        <v>7.5</v>
      </c>
      <c r="AE31" s="28">
        <f t="shared" si="12"/>
        <v>7.5</v>
      </c>
      <c r="AF31" s="28">
        <f t="shared" si="12"/>
        <v>7.5</v>
      </c>
      <c r="AG31" s="28">
        <f t="shared" si="12"/>
        <v>7.5</v>
      </c>
      <c r="AH31" s="28">
        <f t="shared" si="12"/>
        <v>7.5</v>
      </c>
      <c r="AI31" s="28">
        <f t="shared" si="12"/>
        <v>7.5</v>
      </c>
      <c r="AJ31" s="28">
        <f t="shared" si="12"/>
        <v>7.5</v>
      </c>
      <c r="AK31" s="28"/>
      <c r="AL31" s="4"/>
      <c r="AM31" s="4"/>
      <c r="AN31" s="4"/>
      <c r="AO31" s="30"/>
      <c r="AP31" t="b">
        <f t="shared" si="6"/>
        <v>1</v>
      </c>
    </row>
    <row r="32" spans="13:44" x14ac:dyDescent="0.25">
      <c r="S32">
        <f t="shared" si="7"/>
        <v>7.5</v>
      </c>
      <c r="T32" s="45">
        <v>7</v>
      </c>
      <c r="U32" s="29"/>
      <c r="V32" s="4"/>
      <c r="W32" s="4"/>
      <c r="X32" s="4"/>
      <c r="Y32" s="4"/>
      <c r="Z32" s="28"/>
      <c r="AA32" s="28">
        <f t="shared" ref="AA32:AI32" si="13">IFERROR(((INDEX(CHOOSE(OR($C$2="East",$C$2="West")+1,Hallway.NorthSouth,Hallway.EastWest),2,$T32)*$S32-slope)*($AI12&gt;0)),$S32-slope)</f>
        <v>7</v>
      </c>
      <c r="AB32" s="28">
        <f t="shared" si="13"/>
        <v>7</v>
      </c>
      <c r="AC32" s="28">
        <f t="shared" si="13"/>
        <v>7</v>
      </c>
      <c r="AD32" s="28">
        <f t="shared" si="13"/>
        <v>7</v>
      </c>
      <c r="AE32" s="28">
        <f t="shared" si="13"/>
        <v>7</v>
      </c>
      <c r="AF32" s="28">
        <f t="shared" si="13"/>
        <v>7</v>
      </c>
      <c r="AG32" s="28">
        <f t="shared" si="13"/>
        <v>7</v>
      </c>
      <c r="AH32" s="28">
        <f t="shared" si="13"/>
        <v>7</v>
      </c>
      <c r="AI32" s="28">
        <f t="shared" si="13"/>
        <v>7</v>
      </c>
      <c r="AJ32" s="28"/>
      <c r="AK32" s="4"/>
      <c r="AL32" s="4"/>
      <c r="AM32" s="4"/>
      <c r="AN32" s="4"/>
      <c r="AO32" s="30"/>
      <c r="AP32" t="b">
        <f t="shared" si="6"/>
        <v>1</v>
      </c>
    </row>
    <row r="33" spans="19:42" x14ac:dyDescent="0.25">
      <c r="S33">
        <f t="shared" si="7"/>
        <v>7</v>
      </c>
      <c r="T33" s="45">
        <v>8</v>
      </c>
      <c r="U33" s="29"/>
      <c r="V33" s="4"/>
      <c r="W33" s="4"/>
      <c r="X33" s="4"/>
      <c r="Y33" s="4"/>
      <c r="Z33" s="4"/>
      <c r="AA33" s="28"/>
      <c r="AB33" s="28">
        <f t="shared" ref="AB33:AH33" si="14">IFERROR(((INDEX(CHOOSE(OR($C$2="East",$C$2="West")+1,Hallway.NorthSouth,Hallway.EastWest),2,$T33)*$S33-slope)*($AH13&gt;0)),$S33-slope)</f>
        <v>6.5</v>
      </c>
      <c r="AC33" s="28">
        <f t="shared" si="14"/>
        <v>6.5</v>
      </c>
      <c r="AD33" s="28">
        <f t="shared" si="14"/>
        <v>6.5</v>
      </c>
      <c r="AE33" s="28">
        <f t="shared" si="14"/>
        <v>6.5</v>
      </c>
      <c r="AF33" s="28">
        <f t="shared" si="14"/>
        <v>6.5</v>
      </c>
      <c r="AG33" s="28">
        <f t="shared" si="14"/>
        <v>6.5</v>
      </c>
      <c r="AH33" s="28">
        <f t="shared" si="14"/>
        <v>6.5</v>
      </c>
      <c r="AI33" s="28"/>
      <c r="AJ33" s="28"/>
      <c r="AK33" s="4"/>
      <c r="AL33" s="4"/>
      <c r="AM33" s="4"/>
      <c r="AN33" s="4"/>
      <c r="AO33" s="30"/>
      <c r="AP33" t="b">
        <f t="shared" si="6"/>
        <v>1</v>
      </c>
    </row>
    <row r="34" spans="19:42" x14ac:dyDescent="0.25">
      <c r="S34">
        <f t="shared" si="7"/>
        <v>6.5</v>
      </c>
      <c r="T34" s="48">
        <v>9</v>
      </c>
      <c r="U34" s="31"/>
      <c r="V34" s="32"/>
      <c r="W34" s="32"/>
      <c r="X34" s="32"/>
      <c r="Y34" s="32"/>
      <c r="Z34" s="32"/>
      <c r="AA34" s="32"/>
      <c r="AB34" s="28"/>
      <c r="AC34" s="28">
        <f>IFERROR(((INDEX(CHOOSE(OR($C$2="East",$C$2="West")+1,Hallway.NorthSouth,Hallway.EastWest),2,$T34)*$S34-slope)*($AG14&gt;0)),$S34-slope)</f>
        <v>6</v>
      </c>
      <c r="AD34" s="28">
        <f>IFERROR(((INDEX(CHOOSE(OR($C$2="East",$C$2="West")+1,Hallway.NorthSouth,Hallway.EastWest),2,$T34)*$S34-slope)*($AG14&gt;0)),$S34-slope)</f>
        <v>6</v>
      </c>
      <c r="AE34" s="28">
        <f>IFERROR(((INDEX(CHOOSE(OR($C$2="East",$C$2="West")+1,Hallway.NorthSouth,Hallway.EastWest),2,$T34)*$S34-slope)*($AG14&gt;0)),$S34-slope)</f>
        <v>6</v>
      </c>
      <c r="AF34" s="28">
        <f>IFERROR(((INDEX(CHOOSE(OR($C$2="East",$C$2="West")+1,Hallway.NorthSouth,Hallway.EastWest),2,$T34)*$S34-slope)*($AG14&gt;0)),$S34-slope)</f>
        <v>6</v>
      </c>
      <c r="AG34" s="28">
        <f>IFERROR(((INDEX(CHOOSE(OR($C$2="East",$C$2="West")+1,Hallway.NorthSouth,Hallway.EastWest),2,$T34)*$S34-slope)*($AG14&gt;0)),$S34-slope)</f>
        <v>6</v>
      </c>
      <c r="AH34" s="28"/>
      <c r="AI34" s="32"/>
      <c r="AJ34" s="32"/>
      <c r="AK34" s="32"/>
      <c r="AL34" s="32"/>
      <c r="AM34" s="32"/>
      <c r="AN34" s="32"/>
      <c r="AO34" s="33"/>
      <c r="AP34" t="b">
        <f>(AG34&gt;1)</f>
        <v>1</v>
      </c>
    </row>
    <row r="35" spans="19:42" x14ac:dyDescent="0.25">
      <c r="T35" t="s">
        <v>10</v>
      </c>
      <c r="AD35">
        <v>5.5</v>
      </c>
      <c r="AE35">
        <v>5.5</v>
      </c>
      <c r="AF35">
        <v>5.5</v>
      </c>
    </row>
  </sheetData>
  <mergeCells count="10">
    <mergeCell ref="F14:F16"/>
    <mergeCell ref="F6:F8"/>
    <mergeCell ref="H4:J4"/>
    <mergeCell ref="K4:M4"/>
    <mergeCell ref="N4:P4"/>
    <mergeCell ref="U4:AC4"/>
    <mergeCell ref="AF4:AO4"/>
    <mergeCell ref="H12:J12"/>
    <mergeCell ref="K12:M12"/>
    <mergeCell ref="N12:P12"/>
  </mergeCells>
  <dataValidations count="1">
    <dataValidation type="list" allowBlank="1" showInputMessage="1" showErrorMessage="1" sqref="C2">
      <formula1>"North, East, South, West"</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AA19"/>
  <sheetViews>
    <sheetView topLeftCell="B1" zoomScale="80" zoomScaleNormal="80" workbookViewId="0">
      <selection activeCell="N40" sqref="N40"/>
    </sheetView>
  </sheetViews>
  <sheetFormatPr defaultRowHeight="15" x14ac:dyDescent="0.25"/>
  <cols>
    <col min="3" max="11" width="2" customWidth="1"/>
    <col min="12" max="12" width="3.5703125" customWidth="1"/>
    <col min="13" max="13" width="7.140625" customWidth="1"/>
  </cols>
  <sheetData>
    <row r="3" spans="2:27" x14ac:dyDescent="0.25">
      <c r="B3" t="s">
        <v>0</v>
      </c>
    </row>
    <row r="4" spans="2:27" x14ac:dyDescent="0.25">
      <c r="C4">
        <v>1</v>
      </c>
      <c r="D4">
        <v>2</v>
      </c>
      <c r="E4">
        <v>3</v>
      </c>
      <c r="F4">
        <v>4</v>
      </c>
      <c r="G4">
        <v>5</v>
      </c>
      <c r="H4">
        <v>6</v>
      </c>
      <c r="I4">
        <v>7</v>
      </c>
      <c r="J4">
        <v>8</v>
      </c>
      <c r="K4">
        <v>9</v>
      </c>
    </row>
    <row r="5" spans="2:27" ht="9.9499999999999993" customHeight="1" x14ac:dyDescent="0.25">
      <c r="C5" s="13">
        <v>1</v>
      </c>
      <c r="D5" s="14">
        <v>1</v>
      </c>
      <c r="E5" s="15">
        <v>1</v>
      </c>
      <c r="F5" s="13">
        <v>1</v>
      </c>
      <c r="G5" s="14">
        <v>1</v>
      </c>
      <c r="H5" s="15">
        <v>1</v>
      </c>
      <c r="I5" s="13">
        <v>1</v>
      </c>
      <c r="J5" s="14">
        <v>0</v>
      </c>
      <c r="K5" s="15">
        <v>1</v>
      </c>
    </row>
    <row r="6" spans="2:27" ht="9.9499999999999993" customHeight="1" x14ac:dyDescent="0.25">
      <c r="C6" s="16">
        <v>0</v>
      </c>
      <c r="D6" s="4">
        <v>0</v>
      </c>
      <c r="E6" s="17">
        <v>0</v>
      </c>
      <c r="F6" s="16">
        <v>0</v>
      </c>
      <c r="G6" s="4">
        <v>0</v>
      </c>
      <c r="H6" s="17">
        <v>0</v>
      </c>
      <c r="I6" s="16">
        <v>0</v>
      </c>
      <c r="J6" s="4">
        <v>0</v>
      </c>
      <c r="K6" s="17">
        <v>1</v>
      </c>
    </row>
    <row r="7" spans="2:27" ht="9.9499999999999993" customHeight="1" x14ac:dyDescent="0.25">
      <c r="C7" s="18">
        <v>1</v>
      </c>
      <c r="D7" s="19">
        <v>1</v>
      </c>
      <c r="E7" s="20">
        <v>1</v>
      </c>
      <c r="F7" s="18">
        <v>1</v>
      </c>
      <c r="G7" s="19">
        <v>1</v>
      </c>
      <c r="H7" s="20">
        <v>1</v>
      </c>
      <c r="I7" s="18">
        <v>1</v>
      </c>
      <c r="J7" s="19">
        <v>1</v>
      </c>
      <c r="K7" s="20">
        <v>1</v>
      </c>
    </row>
    <row r="8" spans="2:27" x14ac:dyDescent="0.25">
      <c r="P8" s="22"/>
      <c r="R8" s="22"/>
    </row>
    <row r="9" spans="2:27" x14ac:dyDescent="0.25">
      <c r="R9" s="82" t="s">
        <v>1</v>
      </c>
      <c r="S9" s="82"/>
      <c r="T9" s="82"/>
      <c r="U9" s="82"/>
      <c r="V9" s="82"/>
      <c r="W9" s="82" t="s">
        <v>2</v>
      </c>
      <c r="X9" s="82"/>
      <c r="Y9" s="82"/>
      <c r="Z9" s="82"/>
      <c r="AA9" s="82"/>
    </row>
    <row r="10" spans="2:27" x14ac:dyDescent="0.25">
      <c r="M10" s="82"/>
      <c r="Q10" t="s">
        <v>3</v>
      </c>
      <c r="R10">
        <v>1</v>
      </c>
      <c r="S10">
        <v>2</v>
      </c>
      <c r="T10">
        <v>3</v>
      </c>
      <c r="U10">
        <v>4</v>
      </c>
      <c r="V10">
        <v>5</v>
      </c>
      <c r="W10">
        <v>6</v>
      </c>
      <c r="X10">
        <v>7</v>
      </c>
      <c r="Y10">
        <v>8</v>
      </c>
      <c r="Z10">
        <v>9</v>
      </c>
      <c r="AA10">
        <v>10</v>
      </c>
    </row>
    <row r="11" spans="2:27" x14ac:dyDescent="0.25">
      <c r="M11" s="82"/>
      <c r="R11">
        <v>5</v>
      </c>
      <c r="S11" s="24">
        <v>4.5</v>
      </c>
      <c r="Z11">
        <v>4.5</v>
      </c>
      <c r="AA11">
        <v>5</v>
      </c>
    </row>
    <row r="12" spans="2:27" x14ac:dyDescent="0.25">
      <c r="M12" s="82"/>
      <c r="S12">
        <f>S11</f>
        <v>4.5</v>
      </c>
      <c r="T12">
        <f>S12-0.5</f>
        <v>4</v>
      </c>
    </row>
    <row r="13" spans="2:27" x14ac:dyDescent="0.25">
      <c r="M13" s="82"/>
      <c r="T13">
        <f>T12</f>
        <v>4</v>
      </c>
      <c r="U13">
        <f>T13-0.5</f>
        <v>3.5</v>
      </c>
      <c r="X13">
        <f>Y13-0.5</f>
        <v>3.5</v>
      </c>
      <c r="Y13">
        <v>4</v>
      </c>
    </row>
    <row r="14" spans="2:27" x14ac:dyDescent="0.25">
      <c r="M14" s="82"/>
      <c r="U14">
        <f>U13</f>
        <v>3.5</v>
      </c>
      <c r="V14">
        <v>3</v>
      </c>
      <c r="W14">
        <f>X14-0.5</f>
        <v>3</v>
      </c>
      <c r="X14">
        <f>X13</f>
        <v>3.5</v>
      </c>
    </row>
    <row r="15" spans="2:27" x14ac:dyDescent="0.25">
      <c r="M15" s="82"/>
      <c r="R15">
        <f>S15*0.5</f>
        <v>0</v>
      </c>
      <c r="S15">
        <f>T15*0.5</f>
        <v>0</v>
      </c>
      <c r="T15">
        <v>0</v>
      </c>
      <c r="U15">
        <v>0.5</v>
      </c>
      <c r="V15">
        <v>1</v>
      </c>
      <c r="W15">
        <v>1</v>
      </c>
      <c r="X15">
        <f>W15*0.5</f>
        <v>0.5</v>
      </c>
      <c r="Y15">
        <v>0</v>
      </c>
      <c r="Z15">
        <f>Y15*0.5</f>
        <v>0</v>
      </c>
      <c r="AA15">
        <f>Z15*0.5</f>
        <v>0</v>
      </c>
    </row>
    <row r="16" spans="2:27" x14ac:dyDescent="0.25">
      <c r="M16" s="82"/>
      <c r="V16">
        <v>3</v>
      </c>
      <c r="W16">
        <v>3</v>
      </c>
    </row>
    <row r="17" spans="13:13" x14ac:dyDescent="0.25">
      <c r="M17" s="82"/>
    </row>
    <row r="18" spans="13:13" x14ac:dyDescent="0.25">
      <c r="M18" s="82"/>
    </row>
    <row r="19" spans="13:13" x14ac:dyDescent="0.25">
      <c r="M19" s="82"/>
    </row>
  </sheetData>
  <mergeCells count="4">
    <mergeCell ref="W9:AA9"/>
    <mergeCell ref="M10:M14"/>
    <mergeCell ref="M15:M19"/>
    <mergeCell ref="R9:V9"/>
  </mergeCells>
  <conditionalFormatting sqref="C5:K7">
    <cfRule type="cellIs" dxfId="1" priority="1" operator="equal">
      <formula>0</formula>
    </cfRule>
    <cfRule type="cellIs" dxfId="0" priority="2" operator="equal">
      <formula>1</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16</vt:i4>
      </vt:variant>
    </vt:vector>
  </HeadingPairs>
  <TitlesOfParts>
    <vt:vector size="22" baseType="lpstr">
      <vt:lpstr>Game</vt:lpstr>
      <vt:lpstr>Map</vt:lpstr>
      <vt:lpstr>Maze Edit</vt:lpstr>
      <vt:lpstr>Primitives</vt:lpstr>
      <vt:lpstr>Calc</vt:lpstr>
      <vt:lpstr>Sheet1</vt:lpstr>
      <vt:lpstr>Calc.Direction</vt:lpstr>
      <vt:lpstr>Calc.Left</vt:lpstr>
      <vt:lpstr>Calc.Top</vt:lpstr>
      <vt:lpstr>Center</vt:lpstr>
      <vt:lpstr>factor</vt:lpstr>
      <vt:lpstr>go_east</vt:lpstr>
      <vt:lpstr>go_home</vt:lpstr>
      <vt:lpstr>go_north</vt:lpstr>
      <vt:lpstr>go_south</vt:lpstr>
      <vt:lpstr>Hallway.EastWest</vt:lpstr>
      <vt:lpstr>Hallway.NorthSouth</vt:lpstr>
      <vt:lpstr>MazeDef</vt:lpstr>
      <vt:lpstr>MazeMatrix</vt:lpstr>
      <vt:lpstr>MoveArea</vt:lpstr>
      <vt:lpstr>Player.Direction</vt:lpstr>
      <vt:lpstr>slope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Myers, Darin</cp:lastModifiedBy>
  <dcterms:created xsi:type="dcterms:W3CDTF">2013-08-26T23:36:25Z</dcterms:created>
  <dcterms:modified xsi:type="dcterms:W3CDTF">2013-09-18T14:39:58Z</dcterms:modified>
</cp:coreProperties>
</file>